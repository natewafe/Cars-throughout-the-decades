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ach (1970s)" sheetId="2" state="visible" r:id="rId2"/>
    <sheet xmlns:r="http://schemas.openxmlformats.org/officeDocument/2006/relationships" name="Porsche 959 (1980s)" sheetId="3" state="visible" r:id="rId3"/>
    <sheet xmlns:r="http://schemas.openxmlformats.org/officeDocument/2006/relationships" name="McLaren F1 (1990s)" sheetId="4" state="visible" r:id="rId4"/>
    <sheet xmlns:r="http://schemas.openxmlformats.org/officeDocument/2006/relationships" name="Bugatti Veyron (2000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6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8D89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75" customWidth="1" min="4" max="4"/>
  </cols>
  <sheetData>
    <row r="1" ht="26" customHeight="1">
      <c r="A1" s="1" t="inlineStr">
        <is>
          <t>Velocity &amp; Vision Artifact Sourcing Pass — Summary</t>
        </is>
      </c>
    </row>
    <row r="2"/>
    <row r="3">
      <c r="A3" s="2" t="inlineStr">
        <is>
          <t>Counts per room</t>
        </is>
      </c>
    </row>
    <row r="4">
      <c r="A4" s="3" t="inlineStr">
        <is>
          <t>Room</t>
        </is>
      </c>
      <c r="B4" s="3" t="inlineStr">
        <is>
          <t>Count</t>
        </is>
      </c>
      <c r="C4" s="3" t="inlineStr">
        <is>
          <t>High Conf</t>
        </is>
      </c>
      <c r="D4" s="3" t="inlineStr">
        <is>
          <t>Medium Conf</t>
        </is>
      </c>
      <c r="E4" s="3" t="inlineStr">
        <is>
          <t>Low Conf</t>
        </is>
      </c>
    </row>
    <row r="5">
      <c r="A5" s="4" t="inlineStr">
        <is>
          <t>Countach (1970s)</t>
        </is>
      </c>
      <c r="B5" s="4" t="n">
        <v>13</v>
      </c>
      <c r="C5" s="4" t="n">
        <v>12</v>
      </c>
      <c r="D5" s="4" t="n">
        <v>1</v>
      </c>
      <c r="E5" s="4" t="n">
        <v>0</v>
      </c>
    </row>
    <row r="6">
      <c r="A6" s="4" t="inlineStr">
        <is>
          <t>Porsche 959 (1980s)</t>
        </is>
      </c>
      <c r="B6" s="4" t="n">
        <v>12</v>
      </c>
      <c r="C6" s="4" t="n">
        <v>12</v>
      </c>
      <c r="D6" s="4" t="n">
        <v>0</v>
      </c>
      <c r="E6" s="4" t="n">
        <v>0</v>
      </c>
    </row>
    <row r="7">
      <c r="A7" s="4" t="inlineStr">
        <is>
          <t>McLaren F1 (1990s)</t>
        </is>
      </c>
      <c r="B7" s="4" t="n">
        <v>15</v>
      </c>
      <c r="C7" s="4" t="n">
        <v>15</v>
      </c>
      <c r="D7" s="4" t="n">
        <v>0</v>
      </c>
      <c r="E7" s="4" t="n">
        <v>0</v>
      </c>
    </row>
    <row r="8">
      <c r="A8" s="4" t="inlineStr">
        <is>
          <t>Bugatti Veyron (2000s)</t>
        </is>
      </c>
      <c r="B8" s="4" t="n">
        <v>14</v>
      </c>
      <c r="C8" s="4" t="n">
        <v>13</v>
      </c>
      <c r="D8" s="4" t="n">
        <v>1</v>
      </c>
      <c r="E8" s="4" t="n">
        <v>0</v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</row>
    <row r="10"/>
    <row r="11">
      <c r="A11" s="2" t="inlineStr">
        <is>
          <t>Counts by category</t>
        </is>
      </c>
    </row>
    <row r="12">
      <c r="A12" s="3" t="inlineStr">
        <is>
          <t>Category</t>
        </is>
      </c>
      <c r="B12" s="3" t="inlineStr">
        <is>
          <t>Count</t>
        </is>
      </c>
    </row>
    <row r="13">
      <c r="A13" s="4" t="inlineStr">
        <is>
          <t>Period magazine (covers/spreads)</t>
        </is>
      </c>
      <c r="B13" s="4" t="n">
        <v>14</v>
      </c>
    </row>
    <row r="14">
      <c r="A14" s="4" t="inlineStr">
        <is>
          <t>Manufacturer press / engineering</t>
        </is>
      </c>
      <c r="B14" s="4" t="n">
        <v>11</v>
      </c>
    </row>
    <row r="15">
      <c r="A15" s="4" t="inlineStr">
        <is>
          <t>Owner / designer portrait</t>
        </is>
      </c>
      <c r="B15" s="4" t="n">
        <v>10</v>
      </c>
    </row>
    <row r="16">
      <c r="A16" s="4" t="inlineStr">
        <is>
          <t>Motor show debut</t>
        </is>
      </c>
      <c r="B16" s="4" t="n">
        <v>6</v>
      </c>
    </row>
    <row r="17">
      <c r="A17" s="4" t="inlineStr">
        <is>
          <t>Circuit racing</t>
        </is>
      </c>
      <c r="B17" s="4" t="n">
        <v>5</v>
      </c>
    </row>
    <row r="18">
      <c r="A18" s="4" t="inlineStr">
        <is>
          <t>Gallery specimen</t>
        </is>
      </c>
      <c r="B18" s="4" t="n">
        <v>4</v>
      </c>
    </row>
    <row r="19">
      <c r="A19" s="4" t="inlineStr">
        <is>
          <t>Rally / motorsport</t>
        </is>
      </c>
      <c r="B19" s="4" t="n">
        <v>3</v>
      </c>
    </row>
    <row r="20">
      <c r="A20" s="4" t="inlineStr">
        <is>
          <t>Auction catalogue</t>
        </is>
      </c>
      <c r="B20" s="4" t="n">
        <v>1</v>
      </c>
    </row>
    <row r="21"/>
    <row r="22">
      <c r="A22" s="2" t="inlineStr">
        <is>
          <t>Top 10 highest-impact additions across the site</t>
        </is>
      </c>
    </row>
    <row r="23">
      <c r="A23" s="3" t="inlineStr">
        <is>
          <t>Rank</t>
        </is>
      </c>
      <c r="B23" s="3" t="inlineStr">
        <is>
          <t>Room</t>
        </is>
      </c>
      <c r="C23" s="3" t="inlineStr">
        <is>
          <t>Artifact</t>
        </is>
      </c>
      <c r="D23" s="3" t="inlineStr">
        <is>
          <t>Why it's a top pick</t>
        </is>
      </c>
    </row>
    <row r="24">
      <c r="A24" s="4" t="n">
        <v>1</v>
      </c>
      <c r="B24" s="4" t="inlineStr">
        <is>
          <t>Countach</t>
        </is>
      </c>
      <c r="C24" s="4" t="inlineStr">
        <is>
          <t>Road &amp; Track Feb 1976 page scans (both pages)</t>
        </is>
      </c>
      <c r="D24" s="4" t="inlineStr">
        <is>
          <t>Primary written source materialized visually; single most important artifact for the exhibit's central citation</t>
        </is>
      </c>
    </row>
    <row r="25">
      <c r="A25" s="4" t="n">
        <v>2</v>
      </c>
      <c r="B25" s="4" t="inlineStr">
        <is>
          <t>McLaren F1</t>
        </is>
      </c>
      <c r="C25" s="4" t="inlineStr">
        <is>
          <t>Winning #59 F1 GTR podium at Le Mans 1995 (Dalmas/Sekiya/Lehto)</t>
        </is>
      </c>
      <c r="D25" s="4" t="inlineStr">
        <is>
          <t>Iconic upset-victory moment; validates Cropley's 'world's greatest supercar' framing in period</t>
        </is>
      </c>
    </row>
    <row r="26">
      <c r="A26" s="4" t="n">
        <v>3</v>
      </c>
      <c r="B26" s="4" t="inlineStr">
        <is>
          <t>Porsche 959</t>
        </is>
      </c>
      <c r="C26" s="4" t="inlineStr">
        <is>
          <t>Kimble 959 cutaway illustration (1200px)</t>
        </is>
      </c>
      <c r="D26" s="4" t="inlineStr">
        <is>
          <t>The exhibit's cited secondary source at full resolution; engineering-story centerpiece</t>
        </is>
      </c>
    </row>
    <row r="27">
      <c r="A27" s="4" t="n">
        <v>4</v>
      </c>
      <c r="B27" s="4" t="inlineStr">
        <is>
          <t>McLaren F1</t>
        </is>
      </c>
      <c r="C27" s="4" t="inlineStr">
        <is>
          <t>Elon Musk 1999 F1 delivery footage stills (3)</t>
        </is>
      </c>
      <c r="D27" s="4" t="inlineStr">
        <is>
          <t>Signature cultural moment of the F1's era; the dot-com-supercar archetype</t>
        </is>
      </c>
    </row>
    <row r="28">
      <c r="A28" s="4" t="n">
        <v>5</v>
      </c>
      <c r="B28" s="4" t="inlineStr">
        <is>
          <t>Porsche 959</t>
        </is>
      </c>
      <c r="C28" s="4" t="inlineStr">
        <is>
          <t>1983 Frankfurt IAA Gruppe B factory press photos (2)</t>
        </is>
      </c>
      <c r="D28" s="4" t="inlineStr">
        <is>
          <t>Fills the biggest gap — Porsche's own images of the concept reveal, four years before Csere's production test</t>
        </is>
      </c>
    </row>
    <row r="29">
      <c r="A29" s="4" t="n">
        <v>6</v>
      </c>
      <c r="B29" s="4" t="inlineStr">
        <is>
          <t>Countach</t>
        </is>
      </c>
      <c r="C29" s="4" t="inlineStr">
        <is>
          <t>Walter Wolf red LP400 Speciale period photo + his Wolf F1 team car at Brands Hatch 1977</t>
        </is>
      </c>
      <c r="D29" s="4" t="inlineStr">
        <is>
          <t>Wolf is the single most culturally significant Countach owner; tying his F1 team to his supercar collection contextualizes his wealth</t>
        </is>
      </c>
    </row>
    <row r="30">
      <c r="A30" s="4" t="n">
        <v>7</v>
      </c>
      <c r="B30" s="4" t="inlineStr">
        <is>
          <t>Bugatti Veyron</t>
        </is>
      </c>
      <c r="C30" s="4" t="inlineStr">
        <is>
          <t>Bugatti chassis 5.0 validation prototype photos (4)</t>
        </is>
      </c>
      <c r="D30" s="4" t="inlineStr">
        <is>
          <t>The car Piech personally approved; anchors the Ehra-Lessien 407 km/h run and Molsheim Atelier opening narrative</t>
        </is>
      </c>
    </row>
    <row r="31">
      <c r="A31" s="4" t="n">
        <v>8</v>
      </c>
      <c r="B31" s="4" t="inlineStr">
        <is>
          <t>Porsche 959</t>
        </is>
      </c>
      <c r="C31" s="4" t="inlineStr">
        <is>
          <t>Rothmans 1986 Paris-Dakar winning 959 at Porsche Museum</t>
        </is>
      </c>
      <c r="D31" s="4" t="inlineStr">
        <is>
          <t>The motorsport halo that Csere cited in 1987; Paris-Dakar story in a single frame</t>
        </is>
      </c>
    </row>
    <row r="32">
      <c r="A32" s="4" t="n">
        <v>9</v>
      </c>
      <c r="B32" s="4" t="inlineStr">
        <is>
          <t>McLaren F1</t>
        </is>
      </c>
      <c r="C32" s="4" t="inlineStr">
        <is>
          <t>Car Magazine June 1994 cover + 3 spread scans</t>
        </is>
      </c>
      <c r="D32" s="4" t="inlineStr">
        <is>
          <t>Secondary source made visible; period peer coverage to Cropley's Autocar</t>
        </is>
      </c>
    </row>
    <row r="33">
      <c r="A33" s="4" t="n">
        <v>10</v>
      </c>
      <c r="B33" s="4" t="inlineStr">
        <is>
          <t>Countach</t>
        </is>
      </c>
      <c r="C33" s="4" t="inlineStr">
        <is>
          <t>Wolf of Wall Street 25th Anniversary Countach (RM Sotheby's 2023 catalog)</t>
        </is>
      </c>
      <c r="D33" s="4" t="inlineStr">
        <is>
          <t>Cultural-moment artifact tying the Countach to contemporary cinema with $1.655M auction price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50" customWidth="1" min="4" max="4"/>
    <col width="45" customWidth="1" min="5" max="5"/>
    <col width="15" customWidth="1" min="6" max="6"/>
    <col width="22" customWidth="1" min="7" max="7"/>
    <col width="30" customWidth="1" min="8" max="8"/>
    <col width="45" customWidth="1" min="9" max="9"/>
    <col width="55" customWidth="1" min="10" max="10"/>
    <col width="12" customWidth="1" min="11" max="11"/>
    <col width="30" customWidth="1" min="12" max="12"/>
    <col width="14" customWidth="1" min="13" max="13"/>
    <col width="14" customWidth="1" min="14" max="14"/>
  </cols>
  <sheetData>
    <row r="1" ht="30" customHeight="1">
      <c r="A1" s="6" t="inlineStr">
        <is>
          <t>Image URL</t>
        </is>
      </c>
      <c r="B1" s="6" t="inlineStr">
        <is>
          <t>Room</t>
        </is>
      </c>
      <c r="C1" s="6" t="inlineStr">
        <is>
          <t>Suggested Placement</t>
        </is>
      </c>
      <c r="D1" s="6" t="inlineStr">
        <is>
          <t>What It Depicts</t>
        </is>
      </c>
      <c r="E1" s="6" t="inlineStr">
        <is>
          <t>Why Add It</t>
        </is>
      </c>
      <c r="F1" s="6" t="inlineStr">
        <is>
          <t>Date</t>
        </is>
      </c>
      <c r="G1" s="6" t="inlineStr">
        <is>
          <t>Photographer / Studio</t>
        </is>
      </c>
      <c r="H1" s="6" t="inlineStr">
        <is>
          <t>True Original Source</t>
        </is>
      </c>
      <c r="I1" s="6" t="inlineStr">
        <is>
          <t>Source URL</t>
        </is>
      </c>
      <c r="J1" s="6" t="inlineStr">
        <is>
          <t>Chicago Citation</t>
        </is>
      </c>
      <c r="K1" s="6" t="inlineStr">
        <is>
          <t>Confidence</t>
        </is>
      </c>
      <c r="L1" s="6" t="inlineStr">
        <is>
          <t>Licensing Notes</t>
        </is>
      </c>
      <c r="M1" s="6" t="inlineStr">
        <is>
          <t>Resolution</t>
        </is>
      </c>
      <c r="N1" s="6" t="inlineStr">
        <is>
          <t>Category</t>
        </is>
      </c>
    </row>
    <row r="2" ht="85" customHeight="1">
      <c r="A2" s="7" t="inlineStr">
        <is>
          <t>https://i0.wp.com/www.curbsideclassic.com/wp-content/uploads/2018/06/scans0001.jpg</t>
        </is>
      </c>
      <c r="B2" s="7" t="inlineStr">
        <is>
          <t>Countach</t>
        </is>
      </c>
      <c r="C2" s="7" t="inlineStr">
        <is>
          <t>inline artifact / road test spread</t>
        </is>
      </c>
      <c r="D2" s="7" t="inlineStr">
        <is>
          <t>First page of Road &amp; Track's February 1976 Countach LP400 road test — the 'Fastest Car We've Ever Tested' cover feature.</t>
        </is>
      </c>
      <c r="E2" s="7" t="inlineStr">
        <is>
          <t>Actual scan of primary written source; anchors the room visually in its own citation.</t>
        </is>
      </c>
      <c r="F2" s="7" t="inlineStr">
        <is>
          <t>February 1976</t>
        </is>
      </c>
      <c r="G2" s="7" t="inlineStr">
        <is>
          <t>Road &amp; Track staff</t>
        </is>
      </c>
      <c r="H2" s="7" t="inlineStr">
        <is>
          <t>Road &amp; Track, February 1976 issue, Countach road test</t>
        </is>
      </c>
      <c r="I2" s="7" t="inlineStr">
        <is>
          <t>https://www.curbsideclassic.com/vintage-reviews/road-track-vintage-road-test-1976-lamborghini-countach-fastest-car-weve-ever-tested/</t>
        </is>
      </c>
      <c r="J2" s="7" t="inlineStr">
        <is>
          <t>Road &amp; Track, "Lamborghini Countach Road Test," Road &amp; Track, February 1976, page scan via Curbside Classic, https://www.curbsideclassic.com/vintage-reviews/road-track-vintage-road-test-1976-lamborghini-countach-fastest-car-weve-ever-tested/.</t>
        </is>
      </c>
      <c r="K2" s="8" t="inlineStr">
        <is>
          <t>High</t>
        </is>
      </c>
      <c r="L2" s="7" t="inlineStr">
        <is>
          <t>Fair use (educational) - Hearst / Road &amp; Track</t>
        </is>
      </c>
      <c r="M2" s="7" t="inlineStr">
        <is>
          <t>~800x1000</t>
        </is>
      </c>
      <c r="N2" s="7" t="inlineStr">
        <is>
          <t>magazine</t>
        </is>
      </c>
    </row>
    <row r="3" ht="85" customHeight="1">
      <c r="A3" s="7" t="inlineStr">
        <is>
          <t>https://i0.wp.com/www.curbsideclassic.com/wp-content/uploads/2018/06/scans0002.jpg</t>
        </is>
      </c>
      <c r="B3" s="7" t="inlineStr">
        <is>
          <t>Countach</t>
        </is>
      </c>
      <c r="C3" s="7" t="inlineStr">
        <is>
          <t>inline artifact / road test spread</t>
        </is>
      </c>
      <c r="D3" s="7" t="inlineStr">
        <is>
          <t>Second page of the R&amp;T February 1976 Countach test with instrumented performance data.</t>
        </is>
      </c>
      <c r="E3" s="7" t="inlineStr">
        <is>
          <t>Shows the test data the exhibit's thesis rests on (0-60, top speed numbers).</t>
        </is>
      </c>
      <c r="F3" s="7" t="inlineStr">
        <is>
          <t>February 1976</t>
        </is>
      </c>
      <c r="G3" s="7" t="inlineStr">
        <is>
          <t>Road &amp; Track staff</t>
        </is>
      </c>
      <c r="H3" s="7" t="inlineStr">
        <is>
          <t>Road &amp; Track, February 1976 issue, Countach road test p. 2</t>
        </is>
      </c>
      <c r="I3" s="7" t="inlineStr">
        <is>
          <t>https://www.curbsideclassic.com/vintage-reviews/road-track-vintage-road-test-1976-lamborghini-countach-fastest-car-weve-ever-tested/</t>
        </is>
      </c>
      <c r="J3" s="7" t="inlineStr">
        <is>
          <t>Road &amp; Track, "Lamborghini Countach Road Test," Road &amp; Track, February 1976, page 2, scan via Curbside Classic.</t>
        </is>
      </c>
      <c r="K3" s="8" t="inlineStr">
        <is>
          <t>High</t>
        </is>
      </c>
      <c r="L3" s="7" t="inlineStr">
        <is>
          <t>Fair use (educational) - Hearst / Road &amp; Track</t>
        </is>
      </c>
      <c r="M3" s="7" t="inlineStr">
        <is>
          <t>~800x1000</t>
        </is>
      </c>
      <c r="N3" s="7" t="inlineStr">
        <is>
          <t>magazine</t>
        </is>
      </c>
    </row>
    <row r="4" ht="85" customHeight="1">
      <c r="A4" s="7" t="inlineStr">
        <is>
          <t>https://upload.wikimedia.org/wikipedia/commons/b/b2/1986_Pirelli_Countach_top_view_poster.jpg</t>
        </is>
      </c>
      <c r="B4" s="7" t="inlineStr">
        <is>
          <t>Countach</t>
        </is>
      </c>
      <c r="C4" s="7" t="inlineStr">
        <is>
          <t>gallery / inline artifact</t>
        </is>
      </c>
      <c r="D4" s="7" t="inlineStr">
        <is>
          <t>Pirelli factory advertising poster of the Countach in top-down view, April 1986.</t>
        </is>
      </c>
      <c r="E4" s="7" t="inlineStr">
        <is>
          <t>Period factory advertising - a primary artifact of how Lamborghini + Pirelli marketed the car.</t>
        </is>
      </c>
      <c r="F4" s="7" t="inlineStr">
        <is>
          <t>April 1986</t>
        </is>
      </c>
      <c r="G4" s="7" t="inlineStr">
        <is>
          <t>Pirelli</t>
        </is>
      </c>
      <c r="H4" s="7" t="inlineStr">
        <is>
          <t>Pirelli corporate advertising, 1986</t>
        </is>
      </c>
      <c r="I4" s="7" t="inlineStr">
        <is>
          <t>https://commons.wikimedia.org/wiki/File:1986_Pirelli_Countach_top_view_poster.jpg</t>
        </is>
      </c>
      <c r="J4" s="7" t="inlineStr">
        <is>
          <t>Pirelli, Countach Top View Poster, April 1986, Wikimedia Commons (Public Domain).</t>
        </is>
      </c>
      <c r="K4" s="8" t="inlineStr">
        <is>
          <t>High</t>
        </is>
      </c>
      <c r="L4" s="7" t="inlineStr">
        <is>
          <t>Public Domain</t>
        </is>
      </c>
      <c r="M4" s="7" t="inlineStr">
        <is>
          <t>~1500x2000</t>
        </is>
      </c>
      <c r="N4" s="7" t="inlineStr">
        <is>
          <t>magazine</t>
        </is>
      </c>
    </row>
    <row r="5" ht="85" customHeight="1">
      <c r="A5" s="7" t="inlineStr">
        <is>
          <t>https://www.lambocars.com/wp-content/uploads/2005/02/walter-wolf-red-countach-1557415874.jpg</t>
        </is>
      </c>
      <c r="B5" s="7" t="inlineStr">
        <is>
          <t>Countach</t>
        </is>
      </c>
      <c r="C5" s="7" t="inlineStr">
        <is>
          <t>owner portrait / hero</t>
        </is>
      </c>
      <c r="D5" s="7" t="inlineStr">
        <is>
          <t>Walter Wolf with his first Countach LP400 Speciale (chassis 1120148), c. 1976 — the red LP400 he commissioned with flared arches and rear wing.</t>
        </is>
      </c>
      <c r="E5" s="7" t="inlineStr">
        <is>
          <t>Walter Wolf pioneered the wide-body look that became LP400S; period archival image.</t>
        </is>
      </c>
      <c r="F5" s="7" t="inlineStr">
        <is>
          <t>c. 1976</t>
        </is>
      </c>
      <c r="G5" s="7" t="inlineStr">
        <is>
          <t>Lamborghini factory / Walter Wolf personal archive</t>
        </is>
      </c>
      <c r="H5" s="7" t="inlineStr">
        <is>
          <t>LamboCars.com Walter Wolf Specials archive</t>
        </is>
      </c>
      <c r="I5" s="7" t="inlineStr">
        <is>
          <t>https://www.lambocars.com/walter-wolf-specials/</t>
        </is>
      </c>
      <c r="J5" s="7" t="inlineStr">
        <is>
          <t>Lamborghini / Walter Wolf archive, "Walter Wolf with Countach LP400 Speciale," c. 1976, via LamboCars.com.</t>
        </is>
      </c>
      <c r="K5" s="8" t="inlineStr">
        <is>
          <t>High</t>
        </is>
      </c>
      <c r="L5" s="7" t="inlineStr">
        <is>
          <t>Fair use (educational)</t>
        </is>
      </c>
      <c r="M5" s="7" t="inlineStr">
        <is>
          <t>~800x533</t>
        </is>
      </c>
      <c r="N5" s="7" t="inlineStr">
        <is>
          <t>owner</t>
        </is>
      </c>
    </row>
    <row r="6" ht="85" customHeight="1">
      <c r="A6" s="7" t="inlineStr">
        <is>
          <t>https://upload.wikimedia.org/wikipedia/commons/3/3e/Lamborghini_WOLF_Countach_%288014528335%29.jpg</t>
        </is>
      </c>
      <c r="B6" s="7" t="inlineStr">
        <is>
          <t>Countach</t>
        </is>
      </c>
      <c r="C6" s="7" t="inlineStr">
        <is>
          <t>owner portrait / gallery</t>
        </is>
      </c>
      <c r="D6" s="7" t="inlineStr">
        <is>
          <t>Walter Wolf-specification Countach, wide-body with flared arches and rear wing.</t>
        </is>
      </c>
      <c r="E6" s="7" t="inlineStr">
        <is>
          <t>Physical example of the Wolf-spec car that drove the Countach's evolution; documents the archetype.</t>
        </is>
      </c>
      <c r="F6" s="7" t="inlineStr">
        <is>
          <t>2012 (photograph of period-spec car)</t>
        </is>
      </c>
      <c r="G6" s="7" t="inlineStr">
        <is>
          <t>contri from Yonezawa-Shi, Yamagata, Japan</t>
        </is>
      </c>
      <c r="H6" s="7" t="inlineStr">
        <is>
          <t>Wikimedia Commons</t>
        </is>
      </c>
      <c r="I6" s="7" t="inlineStr">
        <is>
          <t>https://commons.wikimedia.org/wiki/File:Lamborghini_WOLF_Countach_(8014528335).jpg</t>
        </is>
      </c>
      <c r="J6" s="7" t="inlineStr">
        <is>
          <t>contri, Lamborghini WOLF Countach, 2012, Wikimedia Commons, CC BY-SA 2.0.</t>
        </is>
      </c>
      <c r="K6" s="8" t="inlineStr">
        <is>
          <t>High</t>
        </is>
      </c>
      <c r="L6" s="7" t="inlineStr">
        <is>
          <t>CC BY-SA 2.0</t>
        </is>
      </c>
      <c r="M6" s="7" t="inlineStr">
        <is>
          <t>~1500x1000</t>
        </is>
      </c>
      <c r="N6" s="7" t="inlineStr">
        <is>
          <t>owner</t>
        </is>
      </c>
    </row>
    <row r="7" ht="85" customHeight="1">
      <c r="A7" s="7" t="inlineStr">
        <is>
          <t>https://upload.wikimedia.org/wikipedia/commons/3/3f/Lamborghini_WOLF_Countach_%288014530312%29.jpg</t>
        </is>
      </c>
      <c r="B7" s="7" t="inlineStr">
        <is>
          <t>Countach</t>
        </is>
      </c>
      <c r="C7" s="7" t="inlineStr">
        <is>
          <t>owner portrait / gallery</t>
        </is>
      </c>
      <c r="D7" s="7" t="inlineStr">
        <is>
          <t>Wolf Countach front-three-quarter showing the Wolf-livery scheme and gold rims.</t>
        </is>
      </c>
      <c r="E7" s="7" t="inlineStr">
        <is>
          <t>Second angle of the Wolf-specification car — shows the badging and livery.</t>
        </is>
      </c>
      <c r="F7" s="7" t="inlineStr">
        <is>
          <t>2012</t>
        </is>
      </c>
      <c r="G7" s="7" t="inlineStr">
        <is>
          <t>contri from Yonezawa-Shi, Yamagata, Japan</t>
        </is>
      </c>
      <c r="H7" s="7" t="inlineStr">
        <is>
          <t>Wikimedia Commons</t>
        </is>
      </c>
      <c r="I7" s="7" t="inlineStr">
        <is>
          <t>https://commons.wikimedia.org/wiki/File:Lamborghini_WOLF_Countach_(8014530312).jpg</t>
        </is>
      </c>
      <c r="J7" s="7" t="inlineStr">
        <is>
          <t>contri, Lamborghini WOLF Countach, 2012, Wikimedia Commons, CC BY-SA 2.0.</t>
        </is>
      </c>
      <c r="K7" s="8" t="inlineStr">
        <is>
          <t>High</t>
        </is>
      </c>
      <c r="L7" s="7" t="inlineStr">
        <is>
          <t>CC BY-SA 2.0</t>
        </is>
      </c>
      <c r="M7" s="7" t="inlineStr">
        <is>
          <t>~1500x1000</t>
        </is>
      </c>
      <c r="N7" s="7" t="inlineStr">
        <is>
          <t>owner</t>
        </is>
      </c>
    </row>
    <row r="8" ht="85" customHeight="1">
      <c r="A8" s="7" t="inlineStr">
        <is>
          <t>https://upload.wikimedia.org/wikipedia/commons/3/37/Jody_Scheckter_Wolf_Brands_Hatch_1977.jpg</t>
        </is>
      </c>
      <c r="B8" s="7" t="inlineStr">
        <is>
          <t>Countach</t>
        </is>
      </c>
      <c r="C8" s="7" t="inlineStr">
        <is>
          <t>owner context</t>
        </is>
      </c>
      <c r="D8" s="7" t="inlineStr">
        <is>
          <t>Jody Scheckter driving the Walter Wolf F1 team car at Brands Hatch, 1977 — Walter Wolf was simultaneously running his F1 team and commissioning custom Countachs.</t>
        </is>
      </c>
      <c r="E8" s="7" t="inlineStr">
        <is>
          <t>Anchors the Walter Wolf story - he wasn't just a collector, he ran a Formula 1 team that finished 2nd in the 1977 Constructors' Championship.</t>
        </is>
      </c>
      <c r="F8" s="7" t="inlineStr">
        <is>
          <t>1977</t>
        </is>
      </c>
      <c r="G8" s="7" t="inlineStr">
        <is>
          <t>Gillfoto</t>
        </is>
      </c>
      <c r="H8" s="7" t="inlineStr">
        <is>
          <t>Wikimedia Commons</t>
        </is>
      </c>
      <c r="I8" s="7" t="inlineStr">
        <is>
          <t>https://commons.wikimedia.org/wiki/File:Jody_Scheckter_Wolf_Brands_Hatch_1977.jpg</t>
        </is>
      </c>
      <c r="J8" s="7" t="inlineStr">
        <is>
          <t>Gillfoto, Jody Scheckter in the Walter Wolf F1 at Brands Hatch, 1977, Wikimedia Commons, CC BY-SA 3.0.</t>
        </is>
      </c>
      <c r="K8" s="8" t="inlineStr">
        <is>
          <t>High</t>
        </is>
      </c>
      <c r="L8" s="7" t="inlineStr">
        <is>
          <t>CC BY-SA 3.0</t>
        </is>
      </c>
      <c r="M8" s="7" t="inlineStr">
        <is>
          <t>~1500x1000</t>
        </is>
      </c>
      <c r="N8" s="7" t="inlineStr">
        <is>
          <t>owner</t>
        </is>
      </c>
    </row>
    <row r="9" ht="85" customHeight="1">
      <c r="A9" s="7" t="inlineStr">
        <is>
          <t>https://cdn.rmsothebys.com/2/f/e/2/9/6/2fe2962536ba066101c76f1c25c5c0862f8a5548.webp</t>
        </is>
      </c>
      <c r="B9" s="7" t="inlineStr">
        <is>
          <t>Countach</t>
        </is>
      </c>
      <c r="C9" s="7" t="inlineStr">
        <is>
          <t>owner portrait / auction hero</t>
        </is>
      </c>
      <c r="D9" s="7" t="inlineStr">
        <is>
          <t>The 1989 Lamborghini Countach 25th Anniversary chassis KLA12722 driven by Leonardo DiCaprio in The Wolf of Wall Street, sold by RM Sotheby's December 2023 for $1.655M.</t>
        </is>
      </c>
      <c r="E9" s="7" t="inlineStr">
        <is>
          <t>Cultural-moment artifact: ties the Countach to contemporary cinema and sets a value benchmark.</t>
        </is>
      </c>
      <c r="F9" s="7" t="inlineStr">
        <is>
          <t>1989 (vehicle) / 2023 (photograph)</t>
        </is>
      </c>
      <c r="G9" s="7" t="inlineStr">
        <is>
          <t>RM Sotheby's auction catalog photography</t>
        </is>
      </c>
      <c r="H9" s="7" t="inlineStr">
        <is>
          <t>RM Sotheby's New York, December 2023 sale press release</t>
        </is>
      </c>
      <c r="I9" s="7" t="inlineStr">
        <is>
          <t>https://rmsothebys.com/media-center/press-releases/one-of-two-the-wolf-of-wall-street-lamborghini-countachs-comes-to-market-iconic-wall-street-raging-bull-headlines-rm-sothebys-upcoming-new-york-sale/</t>
        </is>
      </c>
      <c r="J9" s="7" t="inlineStr">
        <is>
          <t>RM Sotheby's, 1989 Lamborghini Countach 25th Anniversary from The Wolf of Wall Street, December 2023 auction catalog.</t>
        </is>
      </c>
      <c r="K9" s="8" t="inlineStr">
        <is>
          <t>High</t>
        </is>
      </c>
      <c r="L9" s="7" t="inlineStr">
        <is>
          <t>Fair use (editorial)</t>
        </is>
      </c>
      <c r="M9" s="7" t="inlineStr">
        <is>
          <t>~1200x800</t>
        </is>
      </c>
      <c r="N9" s="7" t="inlineStr">
        <is>
          <t>auction</t>
        </is>
      </c>
    </row>
    <row r="10" ht="85" customHeight="1">
      <c r="A10" s="7" t="inlineStr">
        <is>
          <t>https://upload.wikimedia.org/wikipedia/commons/d/dc/Marcello_Gandini_in_1976.jpg</t>
        </is>
      </c>
      <c r="B10" s="7" t="inlineStr">
        <is>
          <t>Countach</t>
        </is>
      </c>
      <c r="C10" s="7" t="inlineStr">
        <is>
          <t>owner portrait / designer portrait</t>
        </is>
      </c>
      <c r="D10" s="7" t="inlineStr">
        <is>
          <t>Portrait of Marcello Gandini, Bertone's designer who penned the Countach LP500 prototype and LP400 production car, in 1976.</t>
        </is>
      </c>
      <c r="E10" s="7" t="inlineStr">
        <is>
          <t>The designer whose lineage of work the exhibit documents; period portrait, public domain.</t>
        </is>
      </c>
      <c r="F10" s="7" t="inlineStr">
        <is>
          <t>1976</t>
        </is>
      </c>
      <c r="G10" s="7" t="inlineStr">
        <is>
          <t>Unknown photographer</t>
        </is>
      </c>
      <c r="H10" s="7" t="inlineStr">
        <is>
          <t>Public-domain photograph, 1976</t>
        </is>
      </c>
      <c r="I10" s="7" t="inlineStr">
        <is>
          <t>https://commons.wikimedia.org/wiki/File:Marcello_Gandini_in_1976.jpg</t>
        </is>
      </c>
      <c r="J10" s="7" t="inlineStr">
        <is>
          <t>Unknown photographer, Marcello Gandini in 1976, 1976, Wikimedia Commons (Public Domain).</t>
        </is>
      </c>
      <c r="K10" s="8" t="inlineStr">
        <is>
          <t>High</t>
        </is>
      </c>
      <c r="L10" s="7" t="inlineStr">
        <is>
          <t>Public Domain</t>
        </is>
      </c>
      <c r="M10" s="7" t="inlineStr">
        <is>
          <t>~1000x1400</t>
        </is>
      </c>
      <c r="N10" s="7" t="inlineStr">
        <is>
          <t>owner</t>
        </is>
      </c>
    </row>
    <row r="11" ht="85" customHeight="1">
      <c r="A11" s="7" t="inlineStr">
        <is>
          <t>https://upload.wikimedia.org/wikipedia/commons/7/7e/1970s_Nuccio_Bertone_Stratos_and_Countach.jpg</t>
        </is>
      </c>
      <c r="B11" s="7" t="inlineStr">
        <is>
          <t>Countach</t>
        </is>
      </c>
      <c r="C11" s="7" t="inlineStr">
        <is>
          <t>owner portrait / designer portrait</t>
        </is>
      </c>
      <c r="D11" s="7" t="inlineStr">
        <is>
          <t>Bertone founder Nuccio Bertone with the Lancia Stratos and Lamborghini Countach, mid-1970s, by Jesse Alexander.</t>
        </is>
      </c>
      <c r="E11" s="7" t="inlineStr">
        <is>
          <t>Bertone and his two defining wedge-era designs in one frame; Jesse Alexander is a named automotive photographer.</t>
        </is>
      </c>
      <c r="F11" s="7" t="inlineStr">
        <is>
          <t>c. 1974</t>
        </is>
      </c>
      <c r="G11" s="7" t="inlineStr">
        <is>
          <t>Jesse Alexander</t>
        </is>
      </c>
      <c r="H11" s="7" t="inlineStr">
        <is>
          <t>Jesse Alexander photograph</t>
        </is>
      </c>
      <c r="I11" s="7" t="inlineStr">
        <is>
          <t>https://commons.wikimedia.org/wiki/File:1970s_Nuccio_Bertone_Stratos_and_Countach.jpg</t>
        </is>
      </c>
      <c r="J11" s="7" t="inlineStr">
        <is>
          <t>Jesse Alexander, Nuccio Bertone with the Stratos and Countach, c. 1974, Wikimedia Commons (Public Domain).</t>
        </is>
      </c>
      <c r="K11" s="8" t="inlineStr">
        <is>
          <t>High</t>
        </is>
      </c>
      <c r="L11" s="7" t="inlineStr">
        <is>
          <t>Public Domain</t>
        </is>
      </c>
      <c r="M11" s="7" t="inlineStr">
        <is>
          <t>~1500x1000</t>
        </is>
      </c>
      <c r="N11" s="7" t="inlineStr">
        <is>
          <t>owner</t>
        </is>
      </c>
    </row>
    <row r="12" ht="85" customHeight="1">
      <c r="A12" s="7" t="inlineStr">
        <is>
          <t>https://upload.wikimedia.org/wikipedia/commons/c/cb/1982_Lamborghini_Countach_LP500.jpg</t>
        </is>
      </c>
      <c r="B12" s="7" t="inlineStr">
        <is>
          <t>Countach</t>
        </is>
      </c>
      <c r="C12" s="7" t="inlineStr">
        <is>
          <t>show debut</t>
        </is>
      </c>
      <c r="D12" s="7" t="inlineStr">
        <is>
          <t>The Countach LP500 prototype reconstructed - the yellow Bertone car unveiled at the 1971 Geneva Motor Show (original destroyed in crash testing).</t>
        </is>
      </c>
      <c r="E12" s="7" t="inlineStr">
        <is>
          <t>Fills the 1971 Geneva debut gap; the LP500 is the original design artifact Gandini drew.</t>
        </is>
      </c>
      <c r="F12" s="7" t="inlineStr">
        <is>
          <t>1971 (original) / 2016 (photograph)</t>
        </is>
      </c>
      <c r="G12" s="7" t="inlineStr">
        <is>
          <t>Dave Hamster</t>
        </is>
      </c>
      <c r="H12" s="7" t="inlineStr">
        <is>
          <t>Wikimedia Commons</t>
        </is>
      </c>
      <c r="I12" s="7" t="inlineStr">
        <is>
          <t>https://commons.wikimedia.org/wiki/File:1982_Lamborghini_Countach_LP500.jpg</t>
        </is>
      </c>
      <c r="J12" s="7" t="inlineStr">
        <is>
          <t>Dave Hamster, Lamborghini Countach LP500 Prototype, 2016, Wikimedia Commons, CC BY 2.0.</t>
        </is>
      </c>
      <c r="K12" s="8" t="inlineStr">
        <is>
          <t>High</t>
        </is>
      </c>
      <c r="L12" s="7" t="inlineStr">
        <is>
          <t>CC BY 2.0</t>
        </is>
      </c>
      <c r="M12" s="7" t="inlineStr">
        <is>
          <t>~2500x1800</t>
        </is>
      </c>
      <c r="N12" s="7" t="inlineStr">
        <is>
          <t>show</t>
        </is>
      </c>
    </row>
    <row r="13" ht="85" customHeight="1">
      <c r="A13" s="7" t="inlineStr">
        <is>
          <t>https://upload.wikimedia.org/wikipedia/commons/2/28/1988_Lamborghini_Countach_25th_Anniversary_Silver.jpg</t>
        </is>
      </c>
      <c r="B13" s="7" t="inlineStr">
        <is>
          <t>Countach</t>
        </is>
      </c>
      <c r="C13" s="7" t="inlineStr">
        <is>
          <t>gallery</t>
        </is>
      </c>
      <c r="D13" s="7" t="inlineStr">
        <is>
          <t>1988 Lamborghini Countach 25th Anniversary Edition in silver — the final evolution of the Countach, 1988-1990.</t>
        </is>
      </c>
      <c r="E13" s="7" t="inlineStr">
        <is>
          <t>Documents the 25th Anniversary spec; fills the 1988 endpoint of the exhibit's timeline.</t>
        </is>
      </c>
      <c r="F13" s="7" t="inlineStr">
        <is>
          <t>1988 (vehicle) / 2021 (photograph)</t>
        </is>
      </c>
      <c r="G13" s="7" t="inlineStr">
        <is>
          <t>MrWalkr</t>
        </is>
      </c>
      <c r="H13" s="7" t="inlineStr">
        <is>
          <t>Wikimedia Commons</t>
        </is>
      </c>
      <c r="I13" s="7" t="inlineStr">
        <is>
          <t>https://commons.wikimedia.org/wiki/File:1988_Lamborghini_Countach_25th_Anniversary_Silver.jpg</t>
        </is>
      </c>
      <c r="J13" s="7" t="inlineStr">
        <is>
          <t>MrWalkr, 1988 Lamborghini Countach 25th Anniversary Silver, 2021, Wikimedia Commons, CC BY-SA 4.0.</t>
        </is>
      </c>
      <c r="K13" s="8" t="inlineStr">
        <is>
          <t>High</t>
        </is>
      </c>
      <c r="L13" s="7" t="inlineStr">
        <is>
          <t>CC BY-SA 4.0</t>
        </is>
      </c>
      <c r="M13" s="7" t="inlineStr">
        <is>
          <t>~4000x2700</t>
        </is>
      </c>
      <c r="N13" s="7" t="inlineStr">
        <is>
          <t>gallery</t>
        </is>
      </c>
    </row>
    <row r="14" ht="85" customHeight="1">
      <c r="A14" s="7" t="inlineStr">
        <is>
          <t>https://upload.wikimedia.org/wikipedia/commons/b/b9/1988_Lamborghini_Countach_25th_Anniversary_Edition_-_Hong_Kong_%2848902428828%29.jpg</t>
        </is>
      </c>
      <c r="B14" s="7" t="inlineStr">
        <is>
          <t>Countach</t>
        </is>
      </c>
      <c r="C14" s="7" t="inlineStr">
        <is>
          <t>gallery</t>
        </is>
      </c>
      <c r="D14" s="7" t="inlineStr">
        <is>
          <t>1988 Countach 25th Anniversary Edition, Hong Kong.</t>
        </is>
      </c>
      <c r="E14" s="7" t="inlineStr">
        <is>
          <t>Alternative angle of the 25th Anniversary spec; shows global collector context.</t>
        </is>
      </c>
      <c r="F14" s="7" t="inlineStr">
        <is>
          <t>2014</t>
        </is>
      </c>
      <c r="G14" s="7" t="inlineStr">
        <is>
          <t>Jones028 from Hong Kong</t>
        </is>
      </c>
      <c r="H14" s="7" t="inlineStr">
        <is>
          <t>Wikimedia Commons</t>
        </is>
      </c>
      <c r="I14" s="7" t="inlineStr">
        <is>
          <t>https://commons.wikimedia.org/wiki/File:1988_Lamborghini_Countach_25th_Anniversary_Edition_-_Hong_Kong_(48902428828).jpg</t>
        </is>
      </c>
      <c r="J14" s="7" t="inlineStr">
        <is>
          <t>Jones028, 1988 Lamborghini Countach 25th Anniversary Edition, Hong Kong, 2014, Wikimedia Commons, CC BY 2.0.</t>
        </is>
      </c>
      <c r="K14" s="7" t="inlineStr">
        <is>
          <t>Medium</t>
        </is>
      </c>
      <c r="L14" s="7" t="inlineStr">
        <is>
          <t>CC BY 2.0</t>
        </is>
      </c>
      <c r="M14" s="7" t="inlineStr">
        <is>
          <t>~3000x2000</t>
        </is>
      </c>
      <c r="N14" s="7" t="inlineStr">
        <is>
          <t>gallery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50" customWidth="1" min="4" max="4"/>
    <col width="45" customWidth="1" min="5" max="5"/>
    <col width="15" customWidth="1" min="6" max="6"/>
    <col width="22" customWidth="1" min="7" max="7"/>
    <col width="30" customWidth="1" min="8" max="8"/>
    <col width="45" customWidth="1" min="9" max="9"/>
    <col width="55" customWidth="1" min="10" max="10"/>
    <col width="12" customWidth="1" min="11" max="11"/>
    <col width="30" customWidth="1" min="12" max="12"/>
    <col width="14" customWidth="1" min="13" max="13"/>
    <col width="14" customWidth="1" min="14" max="14"/>
  </cols>
  <sheetData>
    <row r="1" ht="30" customHeight="1">
      <c r="A1" s="6" t="inlineStr">
        <is>
          <t>Image URL</t>
        </is>
      </c>
      <c r="B1" s="6" t="inlineStr">
        <is>
          <t>Room</t>
        </is>
      </c>
      <c r="C1" s="6" t="inlineStr">
        <is>
          <t>Suggested Placement</t>
        </is>
      </c>
      <c r="D1" s="6" t="inlineStr">
        <is>
          <t>What It Depicts</t>
        </is>
      </c>
      <c r="E1" s="6" t="inlineStr">
        <is>
          <t>Why Add It</t>
        </is>
      </c>
      <c r="F1" s="6" t="inlineStr">
        <is>
          <t>Date</t>
        </is>
      </c>
      <c r="G1" s="6" t="inlineStr">
        <is>
          <t>Photographer / Studio</t>
        </is>
      </c>
      <c r="H1" s="6" t="inlineStr">
        <is>
          <t>True Original Source</t>
        </is>
      </c>
      <c r="I1" s="6" t="inlineStr">
        <is>
          <t>Source URL</t>
        </is>
      </c>
      <c r="J1" s="6" t="inlineStr">
        <is>
          <t>Chicago Citation</t>
        </is>
      </c>
      <c r="K1" s="6" t="inlineStr">
        <is>
          <t>Confidence</t>
        </is>
      </c>
      <c r="L1" s="6" t="inlineStr">
        <is>
          <t>Licensing Notes</t>
        </is>
      </c>
      <c r="M1" s="6" t="inlineStr">
        <is>
          <t>Resolution</t>
        </is>
      </c>
      <c r="N1" s="6" t="inlineStr">
        <is>
          <t>Category</t>
        </is>
      </c>
    </row>
    <row r="2" ht="85" customHeight="1">
      <c r="A2" s="7" t="inlineStr">
        <is>
          <t>https://hips.hearstapps.com/hmg-prod/amv-prod-cad-assets/images/media/616238/porsche-959-photo-616240-s-986x603.jpg</t>
        </is>
      </c>
      <c r="B2" s="7" t="inlineStr">
        <is>
          <t>Porsche 959</t>
        </is>
      </c>
      <c r="C2" s="7" t="inlineStr">
        <is>
          <t>inline artifact / road test spread</t>
        </is>
      </c>
      <c r="D2" s="7" t="inlineStr">
        <is>
          <t>Car and Driver photograph from Csaba Csere's November 1987 archived test of the Porsche 959.</t>
        </is>
      </c>
      <c r="E2" s="7" t="inlineStr">
        <is>
          <t>Period magazine editorial photograph from the exhibit's primary written source.</t>
        </is>
      </c>
      <c r="F2" s="7" t="inlineStr">
        <is>
          <t>November 1987</t>
        </is>
      </c>
      <c r="G2" s="7" t="inlineStr">
        <is>
          <t>Car and Driver staff</t>
        </is>
      </c>
      <c r="H2" s="7" t="inlineStr">
        <is>
          <t>Car and Driver, November 1987, Csaba Csere 959 archived test</t>
        </is>
      </c>
      <c r="I2" s="7" t="inlineStr">
        <is>
          <t>https://www.caranddriver.com/reviews/a15143088/1987-porsche-959-archived-test-review/</t>
        </is>
      </c>
      <c r="J2" s="7" t="inlineStr">
        <is>
          <t>Car and Driver, Porsche 959 Road Test Photograph, November 1987, via Hearst archives.</t>
        </is>
      </c>
      <c r="K2" s="8" t="inlineStr">
        <is>
          <t>High</t>
        </is>
      </c>
      <c r="L2" s="7" t="inlineStr">
        <is>
          <t>Fair use (editorial) - Hearst</t>
        </is>
      </c>
      <c r="M2" s="7" t="inlineStr">
        <is>
          <t>986x603</t>
        </is>
      </c>
      <c r="N2" s="7" t="inlineStr">
        <is>
          <t>magazine</t>
        </is>
      </c>
    </row>
    <row r="3" ht="85" customHeight="1">
      <c r="A3" s="7" t="inlineStr">
        <is>
          <t>https://hips.hearstapps.com/hmg-prod/images/porsche-959-102-1584394867.jpg</t>
        </is>
      </c>
      <c r="B3" s="7" t="inlineStr">
        <is>
          <t>Porsche 959</t>
        </is>
      </c>
      <c r="C3" s="7" t="inlineStr">
        <is>
          <t>inline artifact / road test spread</t>
        </is>
      </c>
      <c r="D3" s="7" t="inlineStr">
        <is>
          <t>Studio photograph of the 959 accompanying Csere's archived Car and Driver test.</t>
        </is>
      </c>
      <c r="E3" s="7" t="inlineStr">
        <is>
          <t>Second editorial photograph from the primary written source.</t>
        </is>
      </c>
      <c r="F3" s="7" t="inlineStr">
        <is>
          <t>1987</t>
        </is>
      </c>
      <c r="G3" s="7" t="inlineStr">
        <is>
          <t>Car and Driver staff</t>
        </is>
      </c>
      <c r="H3" s="7" t="inlineStr">
        <is>
          <t>Car and Driver, November 1987</t>
        </is>
      </c>
      <c r="I3" s="7" t="inlineStr">
        <is>
          <t>https://www.caranddriver.com/reviews/a15143088/1987-porsche-959-archived-test-review/</t>
        </is>
      </c>
      <c r="J3" s="7" t="inlineStr">
        <is>
          <t>Car and Driver, Porsche 959 Studio Photograph, 1987, via Hearst.</t>
        </is>
      </c>
      <c r="K3" s="8" t="inlineStr">
        <is>
          <t>High</t>
        </is>
      </c>
      <c r="L3" s="7" t="inlineStr">
        <is>
          <t>Fair use (editorial) - Hearst</t>
        </is>
      </c>
      <c r="M3" s="7" t="inlineStr">
        <is>
          <t>~1200x800</t>
        </is>
      </c>
      <c r="N3" s="7" t="inlineStr">
        <is>
          <t>magazine</t>
        </is>
      </c>
    </row>
    <row r="4" ht="85" customHeight="1">
      <c r="A4" s="7" t="inlineStr">
        <is>
          <t>https://cdn-1.motorsport.com/images/amp/0aMA7yk0/s1200/automotive-porsche-959-appreciation-2016-porsche-959-cutaway.webp</t>
        </is>
      </c>
      <c r="B4" s="7" t="inlineStr">
        <is>
          <t>Porsche 959</t>
        </is>
      </c>
      <c r="C4" s="7" t="inlineStr">
        <is>
          <t>inline artifact / cutaway hero</t>
        </is>
      </c>
      <c r="D4" s="7" t="inlineStr">
        <is>
          <t>David Kimble's factory-style cutaway illustration of the Porsche 959 published by Motorsport.com.</t>
        </is>
      </c>
      <c r="E4" s="7" t="inlineStr">
        <is>
          <t>Highest-resolution cutaway directly from the secondary source the exhibit cites; engineering-story anchor.</t>
        </is>
      </c>
      <c r="F4" s="7" t="inlineStr">
        <is>
          <t>2016 (publication)</t>
        </is>
      </c>
      <c r="G4" s="7" t="inlineStr">
        <is>
          <t>David Kimble (illustrator)</t>
        </is>
      </c>
      <c r="H4" s="7" t="inlineStr">
        <is>
          <t>Motorsport.com, Cutaway Classic feature, 2016</t>
        </is>
      </c>
      <c r="I4" s="7" t="inlineStr">
        <is>
          <t>https://www.motorsport.com/automotive/news/cutaway-classic-explore-the-amazing-porsche-959-745046/745046/</t>
        </is>
      </c>
      <c r="J4" s="7" t="inlineStr">
        <is>
          <t>David Kimble, Porsche 959 Cutaway Illustration, Motorsport.com, June 8, 2016.</t>
        </is>
      </c>
      <c r="K4" s="8" t="inlineStr">
        <is>
          <t>High</t>
        </is>
      </c>
      <c r="L4" s="7" t="inlineStr">
        <is>
          <t>Fair use (editorial) - Motorsport.com / Kimble</t>
        </is>
      </c>
      <c r="M4" s="7" t="inlineStr">
        <is>
          <t>1200x~700</t>
        </is>
      </c>
      <c r="N4" s="7" t="inlineStr">
        <is>
          <t>press</t>
        </is>
      </c>
    </row>
    <row r="5" ht="85" customHeight="1">
      <c r="A5" s="7" t="inlineStr">
        <is>
          <t>https://www.stuttcars.com/wp-content/uploads/2016/04/1983-porsche-gruppe-b-concept.jpeg</t>
        </is>
      </c>
      <c r="B5" s="7" t="inlineStr">
        <is>
          <t>Porsche 959</t>
        </is>
      </c>
      <c r="C5" s="7" t="inlineStr">
        <is>
          <t>show debut</t>
        </is>
      </c>
      <c r="D5" s="7" t="inlineStr">
        <is>
          <t>Porsche's factory press photograph of the 'Gruppe B' concept car at the 1983 Frankfurt IAA - the 959's official reveal.</t>
        </is>
      </c>
      <c r="E5" s="7" t="inlineStr">
        <is>
          <t>Period factory press image of the Frankfurt 1983 reveal; fills the IAA debut gap.</t>
        </is>
      </c>
      <c r="F5" s="7" t="inlineStr">
        <is>
          <t>September 1983</t>
        </is>
      </c>
      <c r="G5" s="7" t="inlineStr">
        <is>
          <t>Porsche AG factory press</t>
        </is>
      </c>
      <c r="H5" s="7" t="inlineStr">
        <is>
          <t>Porsche AG press archive via StuttCars</t>
        </is>
      </c>
      <c r="I5" s="7" t="inlineStr">
        <is>
          <t>https://www.stuttcars.com/porsche-959-gruppe-b/</t>
        </is>
      </c>
      <c r="J5" s="7" t="inlineStr">
        <is>
          <t>Porsche AG, Porsche 'Gruppe B' Concept at 1983 Frankfurt IAA, 1983, press archive via StuttCars.</t>
        </is>
      </c>
      <c r="K5" s="8" t="inlineStr">
        <is>
          <t>High</t>
        </is>
      </c>
      <c r="L5" s="7" t="inlineStr">
        <is>
          <t>Fair use (editorial) - Porsche AG</t>
        </is>
      </c>
      <c r="M5" s="7" t="inlineStr">
        <is>
          <t>1024x576</t>
        </is>
      </c>
      <c r="N5" s="7" t="inlineStr">
        <is>
          <t>show</t>
        </is>
      </c>
    </row>
    <row r="6" ht="85" customHeight="1">
      <c r="A6" s="7" t="inlineStr">
        <is>
          <t>https://www.stuttcars.com/wp-content/uploads/2016/04/Porsche-959-Gruppe-B-3-2048x1154.jpeg</t>
        </is>
      </c>
      <c r="B6" s="7" t="inlineStr">
        <is>
          <t>Porsche 959</t>
        </is>
      </c>
      <c r="C6" s="7" t="inlineStr">
        <is>
          <t>show debut</t>
        </is>
      </c>
      <c r="D6" s="7" t="inlineStr">
        <is>
          <t>Factory image showing the 1983 Gruppe B concept in Rothmans-presentation livery.</t>
        </is>
      </c>
      <c r="E6" s="7" t="inlineStr">
        <is>
          <t>Documents the Frankfurt-to-Paris-Dakar development thread visually.</t>
        </is>
      </c>
      <c r="F6" s="7" t="inlineStr">
        <is>
          <t>1983</t>
        </is>
      </c>
      <c r="G6" s="7" t="inlineStr">
        <is>
          <t>Porsche AG factory press</t>
        </is>
      </c>
      <c r="H6" s="7" t="inlineStr">
        <is>
          <t>Porsche AG press archive via StuttCars</t>
        </is>
      </c>
      <c r="I6" s="7" t="inlineStr">
        <is>
          <t>https://www.stuttcars.com/porsche-959-gruppe-b/</t>
        </is>
      </c>
      <c r="J6" s="7" t="inlineStr">
        <is>
          <t>Porsche AG, Porsche 959 'Gruppe B' Concept, Rothmans Livery, 1983, via StuttCars.</t>
        </is>
      </c>
      <c r="K6" s="8" t="inlineStr">
        <is>
          <t>High</t>
        </is>
      </c>
      <c r="L6" s="7" t="inlineStr">
        <is>
          <t>Fair use (editorial) - Porsche AG</t>
        </is>
      </c>
      <c r="M6" s="7" t="inlineStr">
        <is>
          <t>2048x1154</t>
        </is>
      </c>
      <c r="N6" s="7" t="inlineStr">
        <is>
          <t>show</t>
        </is>
      </c>
    </row>
    <row r="7" ht="85" customHeight="1">
      <c r="A7" s="7" t="inlineStr">
        <is>
          <t>https://upload.wikimedia.org/wikipedia/commons/5/59/Hamburg_Prototyp_Porsche_959_Prototype_Group_B.jpg</t>
        </is>
      </c>
      <c r="B7" s="7" t="inlineStr">
        <is>
          <t>Porsche 959</t>
        </is>
      </c>
      <c r="C7" s="7" t="inlineStr">
        <is>
          <t>show debut / gallery</t>
        </is>
      </c>
      <c r="D7" s="7" t="inlineStr">
        <is>
          <t>The Group B 959 prototype now in the Prototyp Museum, Hamburg.</t>
        </is>
      </c>
      <c r="E7" s="7" t="inlineStr">
        <is>
          <t>Museum specimen of the preserved Frankfurt 1983 prototype.</t>
        </is>
      </c>
      <c r="F7" s="7" t="inlineStr">
        <is>
          <t>2024 (photo of 1983 prototype)</t>
        </is>
      </c>
      <c r="G7" s="7" t="inlineStr">
        <is>
          <t>Ad Meskens</t>
        </is>
      </c>
      <c r="H7" s="7" t="inlineStr">
        <is>
          <t>Wikimedia Commons</t>
        </is>
      </c>
      <c r="I7" s="7" t="inlineStr">
        <is>
          <t>https://commons.wikimedia.org/wiki/File:Hamburg_Prototyp_Porsche_959_Prototype_Group_B.jpg</t>
        </is>
      </c>
      <c r="J7" s="7" t="inlineStr">
        <is>
          <t>Ad Meskens, Porsche 959 Prototype Group B at Hamburg Prototyp Museum, 2024, Wikimedia Commons, CC BY-SA 4.0.</t>
        </is>
      </c>
      <c r="K7" s="8" t="inlineStr">
        <is>
          <t>High</t>
        </is>
      </c>
      <c r="L7" s="7" t="inlineStr">
        <is>
          <t>CC BY-SA 4.0</t>
        </is>
      </c>
      <c r="M7" s="7" t="inlineStr">
        <is>
          <t>~3000x2000</t>
        </is>
      </c>
      <c r="N7" s="7" t="inlineStr">
        <is>
          <t>show</t>
        </is>
      </c>
    </row>
    <row r="8" ht="85" customHeight="1">
      <c r="A8" s="7" t="inlineStr">
        <is>
          <t>https://upload.wikimedia.org/wikipedia/commons/0/0a/Porsche_959_1986_Paris_Dakar_Racer_Rothmann_Racing_LFrontSide_PorscheM_9June2013_%2814989626056%29.jpg</t>
        </is>
      </c>
      <c r="B8" s="7" t="inlineStr">
        <is>
          <t>Porsche 959</t>
        </is>
      </c>
      <c r="C8" s="7" t="inlineStr">
        <is>
          <t>rally action / gallery hero</t>
        </is>
      </c>
      <c r="D8" s="7" t="inlineStr">
        <is>
          <t>The Rothmans-liveried 959 that won the 1986 Paris-Dakar Rally (Metge/Lemoyne #185), Porsche Museum.</t>
        </is>
      </c>
      <c r="E8" s="7" t="inlineStr">
        <is>
          <t>The motorsport crown of the 959's development story; Csere cited its rally pedigree in 1987.</t>
        </is>
      </c>
      <c r="F8" s="7" t="inlineStr">
        <is>
          <t>1986 (vehicle) / 2013 (photograph)</t>
        </is>
      </c>
      <c r="G8" s="7" t="inlineStr">
        <is>
          <t>Valder137</t>
        </is>
      </c>
      <c r="H8" s="7" t="inlineStr">
        <is>
          <t>Wikimedia Commons, Porsche Museum display</t>
        </is>
      </c>
      <c r="I8" s="7" t="inlineStr">
        <is>
          <t>https://commons.wikimedia.org/wiki/File:Porsche_959_1986_Paris_Dakar_Racer_Rothmann_Racing_LFrontSide_PorscheM_9June2013_(14989626056).jpg</t>
        </is>
      </c>
      <c r="J8" s="7" t="inlineStr">
        <is>
          <t>Valder137, Porsche 959 1986 Paris-Dakar Rothmans Racer, Porsche Museum, 2013, Wikimedia Commons, CC BY 2.0.</t>
        </is>
      </c>
      <c r="K8" s="8" t="inlineStr">
        <is>
          <t>High</t>
        </is>
      </c>
      <c r="L8" s="7" t="inlineStr">
        <is>
          <t>CC BY 2.0</t>
        </is>
      </c>
      <c r="M8" s="7" t="inlineStr">
        <is>
          <t>~3000x2000</t>
        </is>
      </c>
      <c r="N8" s="7" t="inlineStr">
        <is>
          <t>rally</t>
        </is>
      </c>
    </row>
    <row r="9" ht="85" customHeight="1">
      <c r="A9" s="7" t="inlineStr">
        <is>
          <t>https://upload.wikimedia.org/wikipedia/commons/b/ba/1985_Porsche_959_Paris-Dakar_-_Flickr_-_edvvc.jpg</t>
        </is>
      </c>
      <c r="B9" s="7" t="inlineStr">
        <is>
          <t>Porsche 959</t>
        </is>
      </c>
      <c r="C9" s="7" t="inlineStr">
        <is>
          <t>rally action</t>
        </is>
      </c>
      <c r="D9" s="7" t="inlineStr">
        <is>
          <t>1985 Porsche 959 Paris-Dakar prototype — the Ickx/Brasseur entry that preceded the 1986 winner.</t>
        </is>
      </c>
      <c r="E9" s="7" t="inlineStr">
        <is>
          <t>Shows the 1984-1986 evolution of the rally 959 development program.</t>
        </is>
      </c>
      <c r="F9" s="7" t="inlineStr">
        <is>
          <t>2006 (photograph of 1985 car)</t>
        </is>
      </c>
      <c r="G9" s="7" t="inlineStr">
        <is>
          <t>edvvc from London, UK</t>
        </is>
      </c>
      <c r="H9" s="7" t="inlineStr">
        <is>
          <t>Wikimedia Commons</t>
        </is>
      </c>
      <c r="I9" s="7" t="inlineStr">
        <is>
          <t>https://commons.wikimedia.org/wiki/File:1985_Porsche_959_Paris-Dakar_-_Flickr_-_edvvc.jpg</t>
        </is>
      </c>
      <c r="J9" s="7" t="inlineStr">
        <is>
          <t>edvvc, 1985 Porsche 959 Paris-Dakar, Flickr / Wikimedia Commons, CC BY 2.0.</t>
        </is>
      </c>
      <c r="K9" s="8" t="inlineStr">
        <is>
          <t>High</t>
        </is>
      </c>
      <c r="L9" s="7" t="inlineStr">
        <is>
          <t>CC BY 2.0</t>
        </is>
      </c>
      <c r="M9" s="7" t="inlineStr">
        <is>
          <t>~2000x1300</t>
        </is>
      </c>
      <c r="N9" s="7" t="inlineStr">
        <is>
          <t>rally</t>
        </is>
      </c>
    </row>
    <row r="10" ht="85" customHeight="1">
      <c r="A10" s="7" t="inlineStr">
        <is>
          <t>https://upload.wikimedia.org/wikipedia/commons/0/00/Porsche_961_%281987_24_Hours_of_Le_Mans%2C_No.203%29_in_the_Porsche-Museum_%282009%29_IMG_2761.jpg</t>
        </is>
      </c>
      <c r="B10" s="7" t="inlineStr">
        <is>
          <t>Porsche 959</t>
        </is>
      </c>
      <c r="C10" s="7" t="inlineStr">
        <is>
          <t>rally action / gallery</t>
        </is>
      </c>
      <c r="D10" s="7" t="inlineStr">
        <is>
          <t>The Porsche 961, a 959-based Le Mans race car, in its 1987 Le Mans No. 203 livery.</t>
        </is>
      </c>
      <c r="E10" s="7" t="inlineStr">
        <is>
          <t>Completes the motorsport thread: 959 → 961 on the racetrack.</t>
        </is>
      </c>
      <c r="F10" s="7" t="inlineStr">
        <is>
          <t>1987 (vehicle)</t>
        </is>
      </c>
      <c r="G10" s="7" t="inlineStr">
        <is>
          <t>Alexander Migl</t>
        </is>
      </c>
      <c r="H10" s="7" t="inlineStr">
        <is>
          <t>Wikimedia Commons, Porsche Museum</t>
        </is>
      </c>
      <c r="I10" s="7" t="inlineStr">
        <is>
          <t>https://commons.wikimedia.org/wiki/File:Porsche_961_(1987_24_Hours_of_Le_Mans,_No.203)_in_the_Porsche-Museum_(2009)_IMG_2761.jpg</t>
        </is>
      </c>
      <c r="J10" s="7" t="inlineStr">
        <is>
          <t>Alexander Migl, Porsche 961 (1987 Le Mans No. 203), Porsche Museum, 2020, Wikimedia Commons, CC BY-SA 4.0.</t>
        </is>
      </c>
      <c r="K10" s="8" t="inlineStr">
        <is>
          <t>High</t>
        </is>
      </c>
      <c r="L10" s="7" t="inlineStr">
        <is>
          <t>CC BY-SA 4.0</t>
        </is>
      </c>
      <c r="M10" s="7" t="inlineStr">
        <is>
          <t>~3500x2400</t>
        </is>
      </c>
      <c r="N10" s="7" t="inlineStr">
        <is>
          <t>rally</t>
        </is>
      </c>
    </row>
    <row r="11" ht="85" customHeight="1">
      <c r="A11" s="7" t="inlineStr">
        <is>
          <t>https://upload.wikimedia.org/wikipedia/commons/d/de/959_mecanical_sketch_in_Stuttgart_museum.jpg</t>
        </is>
      </c>
      <c r="B11" s="7" t="inlineStr">
        <is>
          <t>Porsche 959</t>
        </is>
      </c>
      <c r="C11" s="7" t="inlineStr">
        <is>
          <t>inline artifact / engineering</t>
        </is>
      </c>
      <c r="D11" s="7" t="inlineStr">
        <is>
          <t>Factory mechanical sketch of the 959 on display at the Porsche Museum Stuttgart.</t>
        </is>
      </c>
      <c r="E11" s="7" t="inlineStr">
        <is>
          <t>Period technical illustration of the PSK AWD system, twin-sequential turbos; engineering centerpiece.</t>
        </is>
      </c>
      <c r="F11" s="7" t="inlineStr">
        <is>
          <t>2024 (photo of factory sketch)</t>
        </is>
      </c>
      <c r="G11" s="7" t="inlineStr">
        <is>
          <t>Rouk40130</t>
        </is>
      </c>
      <c r="H11" s="7" t="inlineStr">
        <is>
          <t>Wikimedia Commons, Porsche Museum Stuttgart</t>
        </is>
      </c>
      <c r="I11" s="7" t="inlineStr">
        <is>
          <t>https://commons.wikimedia.org/wiki/File:959_mecanical_sketch_in_Stuttgart_museum.jpg</t>
        </is>
      </c>
      <c r="J11" s="7" t="inlineStr">
        <is>
          <t>Rouk40130, Porsche 959 Mechanical Sketch, Porsche Museum Stuttgart, 2024, Wikimedia Commons, CC BY 4.0.</t>
        </is>
      </c>
      <c r="K11" s="8" t="inlineStr">
        <is>
          <t>High</t>
        </is>
      </c>
      <c r="L11" s="7" t="inlineStr">
        <is>
          <t>CC BY 4.0</t>
        </is>
      </c>
      <c r="M11" s="7" t="inlineStr">
        <is>
          <t>~2000x1500</t>
        </is>
      </c>
      <c r="N11" s="7" t="inlineStr">
        <is>
          <t>press</t>
        </is>
      </c>
    </row>
    <row r="12" ht="85" customHeight="1">
      <c r="A12" s="7" t="inlineStr">
        <is>
          <t>https://upload.wikimedia.org/wikipedia/commons/3/38/Porsche_959_34_left.jpg</t>
        </is>
      </c>
      <c r="B12" s="7" t="inlineStr">
        <is>
          <t>Porsche 959</t>
        </is>
      </c>
      <c r="C12" s="7" t="inlineStr">
        <is>
          <t>owner portrait</t>
        </is>
      </c>
      <c r="D12" s="7" t="inlineStr">
        <is>
          <t>Ralph Lauren's 1988 Porsche 959 Komfort — the private American owner who, with Gates and Allen, pushed for 959 import legalization.</t>
        </is>
      </c>
      <c r="E12" s="7" t="inlineStr">
        <is>
          <t>Ties to the Gates import saga; Lauren's 959 is a documented cultural artifact.</t>
        </is>
      </c>
      <c r="F12" s="7" t="inlineStr">
        <is>
          <t>1988 (vehicle)</t>
        </is>
      </c>
      <c r="G12" s="7" t="inlineStr">
        <is>
          <t>Uncredited Ralph Lauren Car Collection</t>
        </is>
      </c>
      <c r="H12" s="7" t="inlineStr">
        <is>
          <t>Wikimedia Commons / Ralph Lauren collection</t>
        </is>
      </c>
      <c r="I12" s="7" t="inlineStr">
        <is>
          <t>https://commons.wikimedia.org/wiki/File:Porsche_959_34_left.jpg</t>
        </is>
      </c>
      <c r="J12" s="7" t="inlineStr">
        <is>
          <t>Uncredited, 1988 Porsche 959 Komfort, Ralph Lauren Collection, Wikimedia Commons, CC BY-SA 3.0.</t>
        </is>
      </c>
      <c r="K12" s="8" t="inlineStr">
        <is>
          <t>High</t>
        </is>
      </c>
      <c r="L12" s="7" t="inlineStr">
        <is>
          <t>CC BY-SA 3.0</t>
        </is>
      </c>
      <c r="M12" s="7" t="inlineStr">
        <is>
          <t>~1500x1000</t>
        </is>
      </c>
      <c r="N12" s="7" t="inlineStr">
        <is>
          <t>owner</t>
        </is>
      </c>
    </row>
    <row r="13" ht="85" customHeight="1">
      <c r="A13" s="7" t="inlineStr">
        <is>
          <t>https://upload.wikimedia.org/wikipedia/commons/c/c0/Porsche_959_engine.jpg</t>
        </is>
      </c>
      <c r="B13" s="7" t="inlineStr">
        <is>
          <t>Porsche 959</t>
        </is>
      </c>
      <c r="C13" s="7" t="inlineStr">
        <is>
          <t>engineering</t>
        </is>
      </c>
      <c r="D13" s="7" t="inlineStr">
        <is>
          <t>The Porsche 959's twin-sequential-turbo 2.85L flat-six engine, open-engine-bay view.</t>
        </is>
      </c>
      <c r="E13" s="7" t="inlineStr">
        <is>
          <t>Shows the engine Csere praised for 'perfect' throttle response; pairs with the cutaway.</t>
        </is>
      </c>
      <c r="F13" s="7" t="inlineStr">
        <is>
          <t>2005</t>
        </is>
      </c>
      <c r="G13" s="7" t="inlineStr">
        <is>
          <t>Sfoskett</t>
        </is>
      </c>
      <c r="H13" s="7" t="inlineStr">
        <is>
          <t>Wikimedia Commons</t>
        </is>
      </c>
      <c r="I13" s="7" t="inlineStr">
        <is>
          <t>https://commons.wikimedia.org/wiki/File:Porsche_959_engine.jpg</t>
        </is>
      </c>
      <c r="J13" s="7" t="inlineStr">
        <is>
          <t>Sfoskett, Porsche 959 Engine, 2005, Wikimedia Commons, CC BY-SA 3.0.</t>
        </is>
      </c>
      <c r="K13" s="8" t="inlineStr">
        <is>
          <t>High</t>
        </is>
      </c>
      <c r="L13" s="7" t="inlineStr">
        <is>
          <t>CC BY-SA 3.0</t>
        </is>
      </c>
      <c r="M13" s="7" t="inlineStr">
        <is>
          <t>~1200x800</t>
        </is>
      </c>
      <c r="N13" s="7" t="inlineStr">
        <is>
          <t>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50" customWidth="1" min="4" max="4"/>
    <col width="45" customWidth="1" min="5" max="5"/>
    <col width="15" customWidth="1" min="6" max="6"/>
    <col width="22" customWidth="1" min="7" max="7"/>
    <col width="30" customWidth="1" min="8" max="8"/>
    <col width="45" customWidth="1" min="9" max="9"/>
    <col width="55" customWidth="1" min="10" max="10"/>
    <col width="12" customWidth="1" min="11" max="11"/>
    <col width="30" customWidth="1" min="12" max="12"/>
    <col width="14" customWidth="1" min="13" max="13"/>
    <col width="14" customWidth="1" min="14" max="14"/>
  </cols>
  <sheetData>
    <row r="1" ht="30" customHeight="1">
      <c r="A1" s="6" t="inlineStr">
        <is>
          <t>Image URL</t>
        </is>
      </c>
      <c r="B1" s="6" t="inlineStr">
        <is>
          <t>Room</t>
        </is>
      </c>
      <c r="C1" s="6" t="inlineStr">
        <is>
          <t>Suggested Placement</t>
        </is>
      </c>
      <c r="D1" s="6" t="inlineStr">
        <is>
          <t>What It Depicts</t>
        </is>
      </c>
      <c r="E1" s="6" t="inlineStr">
        <is>
          <t>Why Add It</t>
        </is>
      </c>
      <c r="F1" s="6" t="inlineStr">
        <is>
          <t>Date</t>
        </is>
      </c>
      <c r="G1" s="6" t="inlineStr">
        <is>
          <t>Photographer / Studio</t>
        </is>
      </c>
      <c r="H1" s="6" t="inlineStr">
        <is>
          <t>True Original Source</t>
        </is>
      </c>
      <c r="I1" s="6" t="inlineStr">
        <is>
          <t>Source URL</t>
        </is>
      </c>
      <c r="J1" s="6" t="inlineStr">
        <is>
          <t>Chicago Citation</t>
        </is>
      </c>
      <c r="K1" s="6" t="inlineStr">
        <is>
          <t>Confidence</t>
        </is>
      </c>
      <c r="L1" s="6" t="inlineStr">
        <is>
          <t>Licensing Notes</t>
        </is>
      </c>
      <c r="M1" s="6" t="inlineStr">
        <is>
          <t>Resolution</t>
        </is>
      </c>
      <c r="N1" s="6" t="inlineStr">
        <is>
          <t>Category</t>
        </is>
      </c>
    </row>
    <row r="2" ht="85" customHeight="1">
      <c r="A2" s="7" t="inlineStr">
        <is>
          <t>https://images.cdn.autocar.co.uk/sites/autocar.co.uk/files/mclaren-f1-02.jpg</t>
        </is>
      </c>
      <c r="B2" s="7" t="inlineStr">
        <is>
          <t>McLaren F1</t>
        </is>
      </c>
      <c r="C2" s="7" t="inlineStr">
        <is>
          <t>road test spread / hero</t>
        </is>
      </c>
      <c r="D2" s="7" t="inlineStr">
        <is>
          <t>Autocar's editorial photograph of the McLaren F1 from Steve Cropley's May 11, 1994 full test.</t>
        </is>
      </c>
      <c r="E2" s="7" t="inlineStr">
        <is>
          <t>Primary source editorial photograph; anchors the exhibit's main citation.</t>
        </is>
      </c>
      <c r="F2" s="7" t="inlineStr">
        <is>
          <t>May 11 1994</t>
        </is>
      </c>
      <c r="G2" s="7" t="inlineStr">
        <is>
          <t>Autocar staff photographer</t>
        </is>
      </c>
      <c r="H2" s="7" t="inlineStr">
        <is>
          <t>Autocar magazine, May 11 1994, Cropley full test</t>
        </is>
      </c>
      <c r="I2" s="7" t="inlineStr">
        <is>
          <t>https://www.autocar.co.uk/car-review/mclaren/f1</t>
        </is>
      </c>
      <c r="J2" s="7" t="inlineStr">
        <is>
          <t>Autocar, McLaren F1 Road-Test Photograph, May 11 1994, via autocar.co.uk archives.</t>
        </is>
      </c>
      <c r="K2" s="8" t="inlineStr">
        <is>
          <t>High</t>
        </is>
      </c>
      <c r="L2" s="7" t="inlineStr">
        <is>
          <t>Fair use (editorial) - Haymarket / Autocar</t>
        </is>
      </c>
      <c r="M2" s="7" t="inlineStr">
        <is>
          <t>~2000x1200</t>
        </is>
      </c>
      <c r="N2" s="7" t="inlineStr">
        <is>
          <t>magazine</t>
        </is>
      </c>
    </row>
    <row r="3" ht="85" customHeight="1">
      <c r="A3" s="7" t="inlineStr">
        <is>
          <t>https://images.cdn.autocar.co.uk/sites/autocar.co.uk/files/mclaren-f1-08.jpg</t>
        </is>
      </c>
      <c r="B3" s="7" t="inlineStr">
        <is>
          <t>McLaren F1</t>
        </is>
      </c>
      <c r="C3" s="7" t="inlineStr">
        <is>
          <t>road test spread</t>
        </is>
      </c>
      <c r="D3" s="7" t="inlineStr">
        <is>
          <t>Autocar interior / central-driving-position photograph of the F1.</t>
        </is>
      </c>
      <c r="E3" s="7" t="inlineStr">
        <is>
          <t>Shows the central driving position feature Cropley called out in the test.</t>
        </is>
      </c>
      <c r="F3" s="7" t="inlineStr">
        <is>
          <t>May 1994</t>
        </is>
      </c>
      <c r="G3" s="7" t="inlineStr">
        <is>
          <t>Autocar staff</t>
        </is>
      </c>
      <c r="H3" s="7" t="inlineStr">
        <is>
          <t>Autocar, May 11 1994</t>
        </is>
      </c>
      <c r="I3" s="7" t="inlineStr">
        <is>
          <t>https://www.autocar.co.uk/car-review/mclaren/f1</t>
        </is>
      </c>
      <c r="J3" s="7" t="inlineStr">
        <is>
          <t>Autocar, McLaren F1 Interior, May 11 1994.</t>
        </is>
      </c>
      <c r="K3" s="8" t="inlineStr">
        <is>
          <t>High</t>
        </is>
      </c>
      <c r="L3" s="7" t="inlineStr">
        <is>
          <t>Fair use (editorial) - Haymarket</t>
        </is>
      </c>
      <c r="M3" s="7" t="inlineStr">
        <is>
          <t>~1800x1200</t>
        </is>
      </c>
      <c r="N3" s="7" t="inlineStr">
        <is>
          <t>magazine</t>
        </is>
      </c>
    </row>
    <row r="4" ht="85" customHeight="1">
      <c r="A4" s="7" t="inlineStr">
        <is>
          <t>https://car-images.bauersecure.com/wp-images/10818/1056x594/mmjune1994.jpg</t>
        </is>
      </c>
      <c r="B4" s="7" t="inlineStr">
        <is>
          <t>McLaren F1</t>
        </is>
      </c>
      <c r="C4" s="7" t="inlineStr">
        <is>
          <t>magazine cover</t>
        </is>
      </c>
      <c r="D4" s="7" t="inlineStr">
        <is>
          <t>Car Magazine June 1994 cover featuring the McLaren F1 — the secondary source on the exhibit's bibliography.</t>
        </is>
      </c>
      <c r="E4" s="7" t="inlineStr">
        <is>
          <t>Period magazine cover directly from the cited secondary source.</t>
        </is>
      </c>
      <c r="F4" s="7" t="inlineStr">
        <is>
          <t>June 1994</t>
        </is>
      </c>
      <c r="G4" s="7" t="inlineStr">
        <is>
          <t>Car Magazine</t>
        </is>
      </c>
      <c r="H4" s="7" t="inlineStr">
        <is>
          <t>Car Magazine, June 1994 issue cover</t>
        </is>
      </c>
      <c r="I4" s="7" t="inlineStr">
        <is>
          <t>https://www.carmagazine.co.uk/car-reviews/magazine-reviews/the-first-mclaren-f1-review-car-magazine-june-1994-supercar-test/</t>
        </is>
      </c>
      <c r="J4" s="7" t="inlineStr">
        <is>
          <t>Car Magazine, June 1994 cover, McLaren F1 supercar test.</t>
        </is>
      </c>
      <c r="K4" s="8" t="inlineStr">
        <is>
          <t>High</t>
        </is>
      </c>
      <c r="L4" s="7" t="inlineStr">
        <is>
          <t>Fair use (editorial) - Bauer Media</t>
        </is>
      </c>
      <c r="M4" s="7" t="inlineStr">
        <is>
          <t>1056x594</t>
        </is>
      </c>
      <c r="N4" s="7" t="inlineStr">
        <is>
          <t>magazine</t>
        </is>
      </c>
    </row>
    <row r="5" ht="85" customHeight="1">
      <c r="A5" s="7" t="inlineStr">
        <is>
          <t>https://car-images.bauersecure.com/wp-images/10818/1056x594/mclarenf1firstdrive1.jpg</t>
        </is>
      </c>
      <c r="B5" s="7" t="inlineStr">
        <is>
          <t>McLaren F1</t>
        </is>
      </c>
      <c r="C5" s="7" t="inlineStr">
        <is>
          <t>magazine spread</t>
        </is>
      </c>
      <c r="D5" s="7" t="inlineStr">
        <is>
          <t>First spread of Car Magazine's June 1994 original McLaren F1 road test.</t>
        </is>
      </c>
      <c r="E5" s="7" t="inlineStr">
        <is>
          <t>Period magazine spread from the exhibit's cited secondary source.</t>
        </is>
      </c>
      <c r="F5" s="7" t="inlineStr">
        <is>
          <t>June 1994</t>
        </is>
      </c>
      <c r="G5" s="7" t="inlineStr">
        <is>
          <t>Car Magazine</t>
        </is>
      </c>
      <c r="H5" s="7" t="inlineStr">
        <is>
          <t>Car Magazine, June 1994</t>
        </is>
      </c>
      <c r="I5" s="7" t="inlineStr">
        <is>
          <t>https://www.carmagazine.co.uk/car-reviews/magazine-reviews/the-first-mclaren-f1-review-car-magazine-june-1994-supercar-test/</t>
        </is>
      </c>
      <c r="J5" s="7" t="inlineStr">
        <is>
          <t>Car Magazine, June 1994 McLaren F1 road-test, first spread.</t>
        </is>
      </c>
      <c r="K5" s="8" t="inlineStr">
        <is>
          <t>High</t>
        </is>
      </c>
      <c r="L5" s="7" t="inlineStr">
        <is>
          <t>Fair use (editorial) - Bauer Media</t>
        </is>
      </c>
      <c r="M5" s="7" t="inlineStr">
        <is>
          <t>1056x594</t>
        </is>
      </c>
      <c r="N5" s="7" t="inlineStr">
        <is>
          <t>magazine</t>
        </is>
      </c>
    </row>
    <row r="6" ht="85" customHeight="1">
      <c r="A6" s="7" t="inlineStr">
        <is>
          <t>https://car-images.bauersecure.com/wp-images/10818/1056x594/mclarenf1firstdrive2.jpg</t>
        </is>
      </c>
      <c r="B6" s="7" t="inlineStr">
        <is>
          <t>McLaren F1</t>
        </is>
      </c>
      <c r="C6" s="7" t="inlineStr">
        <is>
          <t>magazine spread</t>
        </is>
      </c>
      <c r="D6" s="7" t="inlineStr">
        <is>
          <t>Second spread of Car Magazine's June 1994 F1 test — interior architecture.</t>
        </is>
      </c>
      <c r="E6" s="7" t="inlineStr">
        <is>
          <t>Documents the central-driver-seat layout from period press.</t>
        </is>
      </c>
      <c r="F6" s="7" t="inlineStr">
        <is>
          <t>June 1994</t>
        </is>
      </c>
      <c r="G6" s="7" t="inlineStr">
        <is>
          <t>Car Magazine</t>
        </is>
      </c>
      <c r="H6" s="7" t="inlineStr">
        <is>
          <t>Car Magazine, June 1994</t>
        </is>
      </c>
      <c r="I6" s="7" t="inlineStr">
        <is>
          <t>https://www.carmagazine.co.uk/car-reviews/magazine-reviews/the-first-mclaren-f1-review-car-magazine-june-1994-supercar-test/</t>
        </is>
      </c>
      <c r="J6" s="7" t="inlineStr">
        <is>
          <t>Car Magazine, June 1994 McLaren F1 road-test, second spread.</t>
        </is>
      </c>
      <c r="K6" s="8" t="inlineStr">
        <is>
          <t>High</t>
        </is>
      </c>
      <c r="L6" s="7" t="inlineStr">
        <is>
          <t>Fair use (editorial) - Bauer Media</t>
        </is>
      </c>
      <c r="M6" s="7" t="inlineStr">
        <is>
          <t>1056x594</t>
        </is>
      </c>
      <c r="N6" s="7" t="inlineStr">
        <is>
          <t>magazine</t>
        </is>
      </c>
    </row>
    <row r="7" ht="85" customHeight="1">
      <c r="A7" s="7" t="inlineStr">
        <is>
          <t>https://car-images.bauersecure.com/wp-images/10818/1056x594/mclarenf1firstdrive3.jpg</t>
        </is>
      </c>
      <c r="B7" s="7" t="inlineStr">
        <is>
          <t>McLaren F1</t>
        </is>
      </c>
      <c r="C7" s="7" t="inlineStr">
        <is>
          <t>magazine spread</t>
        </is>
      </c>
      <c r="D7" s="7" t="inlineStr">
        <is>
          <t>Third Car Magazine June 1994 spread showing the BMW S70/2 V12 engine bay and gold-foil heat shield.</t>
        </is>
      </c>
      <c r="E7" s="7" t="inlineStr">
        <is>
          <t>Visual documentation of the engine bay Cropley and CAR's writers praised in period.</t>
        </is>
      </c>
      <c r="F7" s="7" t="inlineStr">
        <is>
          <t>June 1994</t>
        </is>
      </c>
      <c r="G7" s="7" t="inlineStr">
        <is>
          <t>Car Magazine</t>
        </is>
      </c>
      <c r="H7" s="7" t="inlineStr">
        <is>
          <t>Car Magazine, June 1994</t>
        </is>
      </c>
      <c r="I7" s="7" t="inlineStr">
        <is>
          <t>https://www.carmagazine.co.uk/car-reviews/magazine-reviews/the-first-mclaren-f1-review-car-magazine-june-1994-supercar-test/</t>
        </is>
      </c>
      <c r="J7" s="7" t="inlineStr">
        <is>
          <t>Car Magazine, June 1994 McLaren F1 road-test, engine bay spread.</t>
        </is>
      </c>
      <c r="K7" s="8" t="inlineStr">
        <is>
          <t>High</t>
        </is>
      </c>
      <c r="L7" s="7" t="inlineStr">
        <is>
          <t>Fair use (editorial) - Bauer Media</t>
        </is>
      </c>
      <c r="M7" s="7" t="inlineStr">
        <is>
          <t>1056x594</t>
        </is>
      </c>
      <c r="N7" s="7" t="inlineStr">
        <is>
          <t>magazine</t>
        </is>
      </c>
    </row>
    <row r="8" ht="85" customHeight="1">
      <c r="A8" s="7" t="inlineStr">
        <is>
          <t>https://cdn.motor1.com/images/mgl/10MwM/s1/check-out-elon-musk-getting-delivery-of-supercar-that-is-not-electric.jpg</t>
        </is>
      </c>
      <c r="B8" s="7" t="inlineStr">
        <is>
          <t>McLaren F1</t>
        </is>
      </c>
      <c r="C8" s="7" t="inlineStr">
        <is>
          <t>owner portrait / cultural moment</t>
        </is>
      </c>
      <c r="D8" s="7" t="inlineStr">
        <is>
          <t>28-year-old Elon Musk taking delivery of his silver McLaren F1 (chassis 067) in 1999.</t>
        </is>
      </c>
      <c r="E8" s="7" t="inlineStr">
        <is>
          <t>The archetypal dot-com supercar purchase; Musk crashed it uninsured the following year giving Peter Thiel a ride.</t>
        </is>
      </c>
      <c r="F8" s="7" t="inlineStr">
        <is>
          <t>1999</t>
        </is>
      </c>
      <c r="G8" s="7" t="inlineStr">
        <is>
          <t>CNN archival footage</t>
        </is>
      </c>
      <c r="H8" s="7" t="inlineStr">
        <is>
          <t>CNN news footage, 1999, via Motor1 / InsideEVs</t>
        </is>
      </c>
      <c r="I8" s="7" t="inlineStr">
        <is>
          <t>https://insideevs.com/features/465537/elon-musk-getting-delivery-mclaren-f1/</t>
        </is>
      </c>
      <c r="J8" s="7" t="inlineStr">
        <is>
          <t>CNN archival footage, Elon Musk Takes Delivery of His McLaren F1, 1999.</t>
        </is>
      </c>
      <c r="K8" s="8" t="inlineStr">
        <is>
          <t>High</t>
        </is>
      </c>
      <c r="L8" s="7" t="inlineStr">
        <is>
          <t>Fair use (editorial) - CNN</t>
        </is>
      </c>
      <c r="M8" s="7" t="inlineStr">
        <is>
          <t>~1200x675</t>
        </is>
      </c>
      <c r="N8" s="7" t="inlineStr">
        <is>
          <t>owner</t>
        </is>
      </c>
    </row>
    <row r="9" ht="85" customHeight="1">
      <c r="A9" s="7" t="inlineStr">
        <is>
          <t>https://cdn.motor1.com/images/mgl/10MwM/s3/check-out-elon-musk-getting-delivery-of-supercar-that-is-not-electric.jpg</t>
        </is>
      </c>
      <c r="B9" s="7" t="inlineStr">
        <is>
          <t>McLaren F1</t>
        </is>
      </c>
      <c r="C9" s="7" t="inlineStr">
        <is>
          <t>owner portrait / cultural moment</t>
        </is>
      </c>
      <c r="D9" s="7" t="inlineStr">
        <is>
          <t>Musk beside the F1 during the 1999 delivery.</t>
        </is>
      </c>
      <c r="E9" s="7" t="inlineStr">
        <is>
          <t>Second still from the delivery footage; establishes the moment.</t>
        </is>
      </c>
      <c r="F9" s="7" t="inlineStr">
        <is>
          <t>1999</t>
        </is>
      </c>
      <c r="G9" s="7" t="inlineStr">
        <is>
          <t>CNN</t>
        </is>
      </c>
      <c r="H9" s="7" t="inlineStr">
        <is>
          <t>CNN news footage, 1999</t>
        </is>
      </c>
      <c r="I9" s="7" t="inlineStr">
        <is>
          <t>https://insideevs.com/features/465537/elon-musk-getting-delivery-mclaren-f1/</t>
        </is>
      </c>
      <c r="J9" s="7" t="inlineStr">
        <is>
          <t>CNN archival footage, Elon Musk Receives McLaren F1, 1999.</t>
        </is>
      </c>
      <c r="K9" s="8" t="inlineStr">
        <is>
          <t>High</t>
        </is>
      </c>
      <c r="L9" s="7" t="inlineStr">
        <is>
          <t>Fair use (editorial) - CNN</t>
        </is>
      </c>
      <c r="M9" s="7" t="inlineStr">
        <is>
          <t>~1200x675</t>
        </is>
      </c>
      <c r="N9" s="7" t="inlineStr">
        <is>
          <t>owner</t>
        </is>
      </c>
    </row>
    <row r="10" ht="85" customHeight="1">
      <c r="A10" s="7" t="inlineStr">
        <is>
          <t>https://upload.wikimedia.org/wikipedia/commons/1/16/The_wining_Mclaren_F1_GTR_-59_team_of_Yannick_Dalmas%2C_Masanori_Sekiya_%26_J.J.Lehto_on_the_podium_at_Le_Mans_1995_%2849627444137%29.jpg</t>
        </is>
      </c>
      <c r="B10" s="7" t="inlineStr">
        <is>
          <t>McLaren F1</t>
        </is>
      </c>
      <c r="C10" s="7" t="inlineStr">
        <is>
          <t>race action / podium hero</t>
        </is>
      </c>
      <c r="D10" s="7" t="inlineStr">
        <is>
          <t>The winning #59 Kokusai Kaihatsu Yamaichi McLaren F1 GTR team (Dalmas, Sekiya, Lehto) on the podium at the 1995 Le Mans 24 Hours.</t>
        </is>
      </c>
      <c r="E10" s="7" t="inlineStr">
        <is>
          <t>The upset-victory podium shot; F1's factory backed up Cropley's 'world's greatest supercar' framing with an outright Le Mans win in its first attempt.</t>
        </is>
      </c>
      <c r="F10" s="7" t="inlineStr">
        <is>
          <t>June 11 1995</t>
        </is>
      </c>
      <c r="G10" s="7" t="inlineStr">
        <is>
          <t>Martin Lee from London, UK</t>
        </is>
      </c>
      <c r="H10" s="7" t="inlineStr">
        <is>
          <t>Martin Lee Flickr archive via Wikimedia Commons</t>
        </is>
      </c>
      <c r="I10" s="7" t="inlineStr">
        <is>
          <t>https://commons.wikimedia.org/wiki/File:The_wining_Mclaren_F1_GTR_-59_team_of_Yannick_Dalmas,_Masanori_Sekiya_%26_J.J.Lehto_on_the_podium_at_Le_Mans_1995_(49627444137).jpg</t>
        </is>
      </c>
      <c r="J10" s="7" t="inlineStr">
        <is>
          <t>Martin Lee, Winning McLaren F1 GTR #59 Team on the Podium at Le Mans 1995, June 11 1995, Wikimedia Commons, CC BY-SA 2.0.</t>
        </is>
      </c>
      <c r="K10" s="8" t="inlineStr">
        <is>
          <t>High</t>
        </is>
      </c>
      <c r="L10" s="7" t="inlineStr">
        <is>
          <t>CC BY-SA 2.0</t>
        </is>
      </c>
      <c r="M10" s="7" t="inlineStr">
        <is>
          <t>~2000x1300</t>
        </is>
      </c>
      <c r="N10" s="7" t="inlineStr">
        <is>
          <t>race</t>
        </is>
      </c>
    </row>
    <row r="11" ht="85" customHeight="1">
      <c r="A11" s="7" t="inlineStr">
        <is>
          <t>https://upload.wikimedia.org/wikipedia/commons/1/1c/The_wining_Mclaren_F1_GTR_-59_of_Yannick_Dalmas%2C_Masanori_Sekiya_%26_J.J.Lehto_at_Ford_Chicane_at_Le_Mans_1995_%2849627167201%29.jpg</t>
        </is>
      </c>
      <c r="B11" s="7" t="inlineStr">
        <is>
          <t>McLaren F1</t>
        </is>
      </c>
      <c r="C11" s="7" t="inlineStr">
        <is>
          <t>race action / hero</t>
        </is>
      </c>
      <c r="D11" s="7" t="inlineStr">
        <is>
          <t>The winning #59 F1 GTR at the Ford Chicane, 1995 Le Mans.</t>
        </is>
      </c>
      <c r="E11" s="7" t="inlineStr">
        <is>
          <t>In-race action of the eventual winner; the car captured in competition, not museum-static.</t>
        </is>
      </c>
      <c r="F11" s="7" t="inlineStr">
        <is>
          <t>June 1995</t>
        </is>
      </c>
      <c r="G11" s="7" t="inlineStr">
        <is>
          <t>Martin Lee</t>
        </is>
      </c>
      <c r="H11" s="7" t="inlineStr">
        <is>
          <t>Martin Lee Flickr archive via Wikimedia Commons</t>
        </is>
      </c>
      <c r="I11" s="7" t="inlineStr">
        <is>
          <t>https://commons.wikimedia.org/wiki/File:The_wining_Mclaren_F1_GTR_-59_of_Yannick_Dalmas,_Masanori_Sekiya_%26_J.J.Lehto_at_Ford_Chicane_at_Le_Mans_1995_(49627167201).jpg</t>
        </is>
      </c>
      <c r="J11" s="7" t="inlineStr">
        <is>
          <t>Martin Lee, Winning McLaren F1 GTR #59 at Ford Chicane, Le Mans 1995, Wikimedia Commons, CC BY-SA 2.0.</t>
        </is>
      </c>
      <c r="K11" s="8" t="inlineStr">
        <is>
          <t>High</t>
        </is>
      </c>
      <c r="L11" s="7" t="inlineStr">
        <is>
          <t>CC BY-SA 2.0</t>
        </is>
      </c>
      <c r="M11" s="7" t="inlineStr">
        <is>
          <t>~2000x1300</t>
        </is>
      </c>
      <c r="N11" s="7" t="inlineStr">
        <is>
          <t>race</t>
        </is>
      </c>
    </row>
    <row r="12" ht="85" customHeight="1">
      <c r="A12" s="7" t="inlineStr">
        <is>
          <t>https://upload.wikimedia.org/wikipedia/commons/4/4a/The_3rd_place_Mclaren_F1_GTR_-51_team_of_Andy_Wallace%2C_Derek_Bell_%26_Justin_Bell_on_the_podium_at_Le_Mans_1995_%2849627171486%29.jpg</t>
        </is>
      </c>
      <c r="B12" s="7" t="inlineStr">
        <is>
          <t>McLaren F1</t>
        </is>
      </c>
      <c r="C12" s="7" t="inlineStr">
        <is>
          <t>race action / podium</t>
        </is>
      </c>
      <c r="D12" s="7" t="inlineStr">
        <is>
          <t>The 3rd-place #51 F1 GTR team (Wallace, Derek Bell, Justin Bell) on the 1995 Le Mans podium.</t>
        </is>
      </c>
      <c r="E12" s="7" t="inlineStr">
        <is>
          <t>Three McLaren F1 GTRs finished in the top five at Le Mans 1995; documents the team-wide dominance.</t>
        </is>
      </c>
      <c r="F12" s="7" t="inlineStr">
        <is>
          <t>June 11 1995</t>
        </is>
      </c>
      <c r="G12" s="7" t="inlineStr">
        <is>
          <t>Martin Lee</t>
        </is>
      </c>
      <c r="H12" s="7" t="inlineStr">
        <is>
          <t>Martin Lee Flickr archive via Wikimedia Commons</t>
        </is>
      </c>
      <c r="I12" s="7" t="inlineStr">
        <is>
          <t>https://commons.wikimedia.org/wiki/File:The_3rd_place_Mclaren_F1_GTR_-51_team_of_Andy_Wallace,_Derek_Bell_%26_Justin_Bell_on_the_podium_at_Le_Mans_1995_(49627171486).jpg</t>
        </is>
      </c>
      <c r="J12" s="7" t="inlineStr">
        <is>
          <t>Martin Lee, 3rd Place McLaren F1 GTR #51 Team on Podium, Le Mans 1995, Wikimedia Commons, CC BY-SA 2.0.</t>
        </is>
      </c>
      <c r="K12" s="8" t="inlineStr">
        <is>
          <t>High</t>
        </is>
      </c>
      <c r="L12" s="7" t="inlineStr">
        <is>
          <t>CC BY-SA 2.0</t>
        </is>
      </c>
      <c r="M12" s="7" t="inlineStr">
        <is>
          <t>~2000x1300</t>
        </is>
      </c>
      <c r="N12" s="7" t="inlineStr">
        <is>
          <t>race</t>
        </is>
      </c>
    </row>
    <row r="13" ht="85" customHeight="1">
      <c r="A13" s="7" t="inlineStr">
        <is>
          <t>https://upload.wikimedia.org/wikipedia/commons/5/5f/The_1st%2C_2nd_%26_3rd_place_finishers_on_the_podium_at_Le_Mans_1995_%2849626653518%29.jpg</t>
        </is>
      </c>
      <c r="B13" s="7" t="inlineStr">
        <is>
          <t>McLaren F1</t>
        </is>
      </c>
      <c r="C13" s="7" t="inlineStr">
        <is>
          <t>race action / podium</t>
        </is>
      </c>
      <c r="D13" s="7" t="inlineStr">
        <is>
          <t>All three podium finishers at the 1995 Le Mans 24 Hours — McLaren F1 GTR swept 1st and 3rd.</t>
        </is>
      </c>
      <c r="E13" s="7" t="inlineStr">
        <is>
          <t>Composite podium image documenting the historic McLaren result.</t>
        </is>
      </c>
      <c r="F13" s="7" t="inlineStr">
        <is>
          <t>June 11 1995</t>
        </is>
      </c>
      <c r="G13" s="7" t="inlineStr">
        <is>
          <t>Martin Lee</t>
        </is>
      </c>
      <c r="H13" s="7" t="inlineStr">
        <is>
          <t>Martin Lee Flickr archive via Wikimedia Commons</t>
        </is>
      </c>
      <c r="I13" s="7" t="inlineStr">
        <is>
          <t>https://commons.wikimedia.org/wiki/File:The_1st,_2nd_%26_3rd_place_finishers_on_the_podium_at_Le_Mans_1995_(49626653518).jpg</t>
        </is>
      </c>
      <c r="J13" s="7" t="inlineStr">
        <is>
          <t>Martin Lee, 1st/2nd/3rd Place Finishers at Le Mans 1995 Podium, Wikimedia Commons, CC BY-SA 2.0.</t>
        </is>
      </c>
      <c r="K13" s="8" t="inlineStr">
        <is>
          <t>High</t>
        </is>
      </c>
      <c r="L13" s="7" t="inlineStr">
        <is>
          <t>CC BY-SA 2.0</t>
        </is>
      </c>
      <c r="M13" s="7" t="inlineStr">
        <is>
          <t>~2000x1300</t>
        </is>
      </c>
      <c r="N13" s="7" t="inlineStr">
        <is>
          <t>race</t>
        </is>
      </c>
    </row>
    <row r="14" ht="85" customHeight="1">
      <c r="A14" s="7" t="inlineStr">
        <is>
          <t>https://upload.wikimedia.org/wikipedia/commons/9/99/1995_Le_Mans_winning_McLaren_F1_GTR_display_at_Goodwood_Festival_of_Speed.jpg</t>
        </is>
      </c>
      <c r="B14" s="7" t="inlineStr">
        <is>
          <t>McLaren F1</t>
        </is>
      </c>
      <c r="C14" s="7" t="inlineStr">
        <is>
          <t>auction hero / show hero</t>
        </is>
      </c>
      <c r="D14" s="7" t="inlineStr">
        <is>
          <t>The 1995 Le Mans-winning McLaren F1 GTR (#01R) on display at Goodwood Festival of Speed.</t>
        </is>
      </c>
      <c r="E14" s="7" t="inlineStr">
        <is>
          <t>The actual winning chassis, preserved and displayed.</t>
        </is>
      </c>
      <c r="F14" s="7" t="inlineStr">
        <is>
          <t>1995 (vehicle)</t>
        </is>
      </c>
      <c r="G14" s="7" t="inlineStr">
        <is>
          <t>Spycatcher58</t>
        </is>
      </c>
      <c r="H14" s="7" t="inlineStr">
        <is>
          <t>Wikimedia Commons</t>
        </is>
      </c>
      <c r="I14" s="7" t="inlineStr">
        <is>
          <t>https://commons.wikimedia.org/wiki/File:1995_Le_Mans_winning_McLaren_F1_GTR_display_at_Goodwood_Festival_of_Speed.jpg</t>
        </is>
      </c>
      <c r="J14" s="7" t="inlineStr">
        <is>
          <t>Spycatcher58, 1995 Le Mans Winning McLaren F1 GTR at Goodwood Festival of Speed, Wikimedia Commons, CC BY-SA 4.0.</t>
        </is>
      </c>
      <c r="K14" s="8" t="inlineStr">
        <is>
          <t>High</t>
        </is>
      </c>
      <c r="L14" s="7" t="inlineStr">
        <is>
          <t>CC BY-SA 4.0</t>
        </is>
      </c>
      <c r="M14" s="7" t="inlineStr">
        <is>
          <t>~2500x1700</t>
        </is>
      </c>
      <c r="N14" s="7" t="inlineStr">
        <is>
          <t>race</t>
        </is>
      </c>
    </row>
    <row r="15" ht="85" customHeight="1">
      <c r="A15" s="7" t="inlineStr">
        <is>
          <t>https://upload.wikimedia.org/wikipedia/commons/7/7e/Gordon_Murray_chats_in_the_paddock_behind_the_pits_at_the_1996_Le_Mans_%2851816281021%29.jpg</t>
        </is>
      </c>
      <c r="B15" s="7" t="inlineStr">
        <is>
          <t>McLaren F1</t>
        </is>
      </c>
      <c r="C15" s="7" t="inlineStr">
        <is>
          <t>owner portrait / designer portrait</t>
        </is>
      </c>
      <c r="D15" s="7" t="inlineStr">
        <is>
          <t>Gordon Murray — the F1's designer — in the paddock at the 1996 Le Mans, one year after his car's outright win.</t>
        </is>
      </c>
      <c r="E15" s="7" t="inlineStr">
        <is>
          <t>The designer portrait; shows Murray as a racing-paddock figure, not just a draftsman.</t>
        </is>
      </c>
      <c r="F15" s="7" t="inlineStr">
        <is>
          <t>1996</t>
        </is>
      </c>
      <c r="G15" s="7" t="inlineStr">
        <is>
          <t>Martin Lee</t>
        </is>
      </c>
      <c r="H15" s="7" t="inlineStr">
        <is>
          <t>Martin Lee Flickr archive via Wikimedia Commons</t>
        </is>
      </c>
      <c r="I15" s="7" t="inlineStr">
        <is>
          <t>https://commons.wikimedia.org/wiki/File:Gordon_Murray_chats_in_the_paddock_behind_the_pits_at_the_1996_Le_Mans_(51816281021).jpg</t>
        </is>
      </c>
      <c r="J15" s="7" t="inlineStr">
        <is>
          <t>Martin Lee, Gordon Murray in the Paddock at the 1996 Le Mans, 1996, Wikimedia Commons, CC BY-SA 2.0.</t>
        </is>
      </c>
      <c r="K15" s="8" t="inlineStr">
        <is>
          <t>High</t>
        </is>
      </c>
      <c r="L15" s="7" t="inlineStr">
        <is>
          <t>CC BY-SA 2.0</t>
        </is>
      </c>
      <c r="M15" s="7" t="inlineStr">
        <is>
          <t>~2000x1300</t>
        </is>
      </c>
      <c r="N15" s="7" t="inlineStr">
        <is>
          <t>owner</t>
        </is>
      </c>
    </row>
    <row r="16" ht="85" customHeight="1">
      <c r="A16" s="7" t="inlineStr">
        <is>
          <t>https://upload.wikimedia.org/wikipedia/commons/7/78/1995_McLaren_F1_LM_6.1_Engine.jpg</t>
        </is>
      </c>
      <c r="B16" s="7" t="inlineStr">
        <is>
          <t>McLaren F1</t>
        </is>
      </c>
      <c r="C16" s="7" t="inlineStr">
        <is>
          <t>engineering / cutaway</t>
        </is>
      </c>
      <c r="D16" s="7" t="inlineStr">
        <is>
          <t>Open engine bay of the McLaren F1 LM showing the BMW S70/2 V12 and the gold-foil heat-shield lining.</t>
        </is>
      </c>
      <c r="E16" s="7" t="inlineStr">
        <is>
          <t>The gold-foil engine bay is a cultural talking point; period engineering detail.</t>
        </is>
      </c>
      <c r="F16" s="7" t="inlineStr">
        <is>
          <t>2018 (photograph)</t>
        </is>
      </c>
      <c r="G16" s="7" t="inlineStr">
        <is>
          <t>Chelsea Jay</t>
        </is>
      </c>
      <c r="H16" s="7" t="inlineStr">
        <is>
          <t>Wikimedia Commons</t>
        </is>
      </c>
      <c r="I16" s="7" t="inlineStr">
        <is>
          <t>https://commons.wikimedia.org/wiki/File:1995_McLaren_F1_LM_6.1_Engine.jpg</t>
        </is>
      </c>
      <c r="J16" s="7" t="inlineStr">
        <is>
          <t>Chelsea Jay, 1995 McLaren F1 LM Engine Bay, 2018, Wikimedia Commons, CC BY-SA 4.0.</t>
        </is>
      </c>
      <c r="K16" s="8" t="inlineStr">
        <is>
          <t>High</t>
        </is>
      </c>
      <c r="L16" s="7" t="inlineStr">
        <is>
          <t>CC BY-SA 4.0</t>
        </is>
      </c>
      <c r="M16" s="7" t="inlineStr">
        <is>
          <t>~4000x2700</t>
        </is>
      </c>
      <c r="N16" s="7" t="inlineStr">
        <is>
          <t>press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50" customWidth="1" min="4" max="4"/>
    <col width="45" customWidth="1" min="5" max="5"/>
    <col width="15" customWidth="1" min="6" max="6"/>
    <col width="22" customWidth="1" min="7" max="7"/>
    <col width="30" customWidth="1" min="8" max="8"/>
    <col width="45" customWidth="1" min="9" max="9"/>
    <col width="55" customWidth="1" min="10" max="10"/>
    <col width="12" customWidth="1" min="11" max="11"/>
    <col width="30" customWidth="1" min="12" max="12"/>
    <col width="14" customWidth="1" min="13" max="13"/>
    <col width="14" customWidth="1" min="14" max="14"/>
  </cols>
  <sheetData>
    <row r="1" ht="30" customHeight="1">
      <c r="A1" s="6" t="inlineStr">
        <is>
          <t>Image URL</t>
        </is>
      </c>
      <c r="B1" s="6" t="inlineStr">
        <is>
          <t>Room</t>
        </is>
      </c>
      <c r="C1" s="6" t="inlineStr">
        <is>
          <t>Suggested Placement</t>
        </is>
      </c>
      <c r="D1" s="6" t="inlineStr">
        <is>
          <t>What It Depicts</t>
        </is>
      </c>
      <c r="E1" s="6" t="inlineStr">
        <is>
          <t>Why Add It</t>
        </is>
      </c>
      <c r="F1" s="6" t="inlineStr">
        <is>
          <t>Date</t>
        </is>
      </c>
      <c r="G1" s="6" t="inlineStr">
        <is>
          <t>Photographer / Studio</t>
        </is>
      </c>
      <c r="H1" s="6" t="inlineStr">
        <is>
          <t>True Original Source</t>
        </is>
      </c>
      <c r="I1" s="6" t="inlineStr">
        <is>
          <t>Source URL</t>
        </is>
      </c>
      <c r="J1" s="6" t="inlineStr">
        <is>
          <t>Chicago Citation</t>
        </is>
      </c>
      <c r="K1" s="6" t="inlineStr">
        <is>
          <t>Confidence</t>
        </is>
      </c>
      <c r="L1" s="6" t="inlineStr">
        <is>
          <t>Licensing Notes</t>
        </is>
      </c>
      <c r="M1" s="6" t="inlineStr">
        <is>
          <t>Resolution</t>
        </is>
      </c>
      <c r="N1" s="6" t="inlineStr">
        <is>
          <t>Category</t>
        </is>
      </c>
    </row>
    <row r="2" ht="85" customHeight="1">
      <c r="A2" s="7" t="inlineStr">
        <is>
          <t>https://images.cdn.autocar.co.uk/sites/autocar.co.uk/files/bugatti-veyron-super-sport-.jpg</t>
        </is>
      </c>
      <c r="B2" s="7" t="inlineStr">
        <is>
          <t>Bugatti Veyron</t>
        </is>
      </c>
      <c r="C2" s="7" t="inlineStr">
        <is>
          <t>hero / road test spread</t>
        </is>
      </c>
      <c r="D2" s="7" t="inlineStr">
        <is>
          <t>Autocar's hero photograph of the Bugatti Veyron from Steve Cropley's 2005 first-drive.</t>
        </is>
      </c>
      <c r="E2" s="7" t="inlineStr">
        <is>
          <t>Primary source editorial photograph from the exhibit's main Veyron citation.</t>
        </is>
      </c>
      <c r="F2" s="7" t="inlineStr">
        <is>
          <t>2005</t>
        </is>
      </c>
      <c r="G2" s="7" t="inlineStr">
        <is>
          <t>Autocar staff</t>
        </is>
      </c>
      <c r="H2" s="7" t="inlineStr">
        <is>
          <t>Autocar, 2005 Veyron first drive</t>
        </is>
      </c>
      <c r="I2" s="7" t="inlineStr">
        <is>
          <t>https://www.autocar.co.uk/car-review/bugatti/veyron-2005-2015/first-drives/bugatti-veyron-2005-first-drive</t>
        </is>
      </c>
      <c r="J2" s="7" t="inlineStr">
        <is>
          <t>Autocar, Bugatti Veyron Hero Photograph, 2005.</t>
        </is>
      </c>
      <c r="K2" s="8" t="inlineStr">
        <is>
          <t>High</t>
        </is>
      </c>
      <c r="L2" s="7" t="inlineStr">
        <is>
          <t>Fair use (editorial) - Haymarket</t>
        </is>
      </c>
      <c r="M2" s="7" t="inlineStr">
        <is>
          <t>~1800x1200</t>
        </is>
      </c>
      <c r="N2" s="7" t="inlineStr">
        <is>
          <t>magazine</t>
        </is>
      </c>
    </row>
    <row r="3" ht="85" customHeight="1">
      <c r="A3" s="7" t="inlineStr">
        <is>
          <t>https://images.cdn.autocar.co.uk/sites/autocar.co.uk/files/bugatti-veyron-super-sport-1.jpg</t>
        </is>
      </c>
      <c r="B3" s="7" t="inlineStr">
        <is>
          <t>Bugatti Veyron</t>
        </is>
      </c>
      <c r="C3" s="7" t="inlineStr">
        <is>
          <t>road test spread</t>
        </is>
      </c>
      <c r="D3" s="7" t="inlineStr">
        <is>
          <t>Autocar editorial photograph of the Veyron exterior from Cropley's first-drive feature.</t>
        </is>
      </c>
      <c r="E3" s="7" t="inlineStr">
        <is>
          <t>Second Autocar editorial photograph from primary source.</t>
        </is>
      </c>
      <c r="F3" s="7" t="inlineStr">
        <is>
          <t>2005</t>
        </is>
      </c>
      <c r="G3" s="7" t="inlineStr">
        <is>
          <t>Autocar staff</t>
        </is>
      </c>
      <c r="H3" s="7" t="inlineStr">
        <is>
          <t>Autocar, 2005</t>
        </is>
      </c>
      <c r="I3" s="7" t="inlineStr">
        <is>
          <t>https://www.autocar.co.uk/car-review/bugatti/veyron-2005-2015/first-drives/bugatti-veyron-2005-first-drive</t>
        </is>
      </c>
      <c r="J3" s="7" t="inlineStr">
        <is>
          <t>Autocar, Bugatti Veyron Exterior Detail, 2005.</t>
        </is>
      </c>
      <c r="K3" s="8" t="inlineStr">
        <is>
          <t>High</t>
        </is>
      </c>
      <c r="L3" s="7" t="inlineStr">
        <is>
          <t>Fair use (editorial) - Haymarket</t>
        </is>
      </c>
      <c r="M3" s="7" t="inlineStr">
        <is>
          <t>~1800x1200</t>
        </is>
      </c>
      <c r="N3" s="7" t="inlineStr">
        <is>
          <t>magazine</t>
        </is>
      </c>
    </row>
    <row r="4" ht="85" customHeight="1">
      <c r="A4" s="7" t="inlineStr">
        <is>
          <t>https://images.cdn.autocar.co.uk/sites/autocar.co.uk/files/bugatti-veyron-super-sport-2.jpg</t>
        </is>
      </c>
      <c r="B4" s="7" t="inlineStr">
        <is>
          <t>Bugatti Veyron</t>
        </is>
      </c>
      <c r="C4" s="7" t="inlineStr">
        <is>
          <t>road test spread</t>
        </is>
      </c>
      <c r="D4" s="7" t="inlineStr">
        <is>
          <t>Third Autocar editorial photograph of the Veyron.</t>
        </is>
      </c>
      <c r="E4" s="7" t="inlineStr">
        <is>
          <t>Third editorial photograph from primary source.</t>
        </is>
      </c>
      <c r="F4" s="7" t="inlineStr">
        <is>
          <t>2005</t>
        </is>
      </c>
      <c r="G4" s="7" t="inlineStr">
        <is>
          <t>Autocar staff</t>
        </is>
      </c>
      <c r="H4" s="7" t="inlineStr">
        <is>
          <t>Autocar, 2005</t>
        </is>
      </c>
      <c r="I4" s="7" t="inlineStr">
        <is>
          <t>https://www.autocar.co.uk/car-review/bugatti/veyron-2005-2015/first-drives/bugatti-veyron-2005-first-drive</t>
        </is>
      </c>
      <c r="J4" s="7" t="inlineStr">
        <is>
          <t>Autocar, Bugatti Veyron Editorial Photograph 3, 2005.</t>
        </is>
      </c>
      <c r="K4" s="8" t="inlineStr">
        <is>
          <t>High</t>
        </is>
      </c>
      <c r="L4" s="7" t="inlineStr">
        <is>
          <t>Fair use (editorial) - Haymarket</t>
        </is>
      </c>
      <c r="M4" s="7" t="inlineStr">
        <is>
          <t>~1800x1200</t>
        </is>
      </c>
      <c r="N4" s="7" t="inlineStr">
        <is>
          <t>magazine</t>
        </is>
      </c>
    </row>
    <row r="5" ht="85" customHeight="1">
      <c r="A5" s="7" t="inlineStr">
        <is>
          <t>https://www.supercars.net/blog/wp-content/uploads/2025/10/Bugatti-Veyron-chassis-5-1.jpg</t>
        </is>
      </c>
      <c r="B5" s="7" t="inlineStr">
        <is>
          <t>Bugatti Veyron</t>
        </is>
      </c>
      <c r="C5" s="7" t="inlineStr">
        <is>
          <t>press / engineering</t>
        </is>
      </c>
      <c r="D5" s="7" t="inlineStr">
        <is>
          <t>Veyron chassis 5.0 — the validation prototype Ferdinand Piech personally signed off on in 2005 before series production.</t>
        </is>
      </c>
      <c r="E5" s="7" t="inlineStr">
        <is>
          <t>The actual car Piech approved; anchors the 1,001 hp / 400 km/h narrative.</t>
        </is>
      </c>
      <c r="F5" s="7" t="inlineStr">
        <is>
          <t>2005 (vehicle)</t>
        </is>
      </c>
      <c r="G5" s="7" t="inlineStr">
        <is>
          <t>Bugatti AG press archive via Supercars.net</t>
        </is>
      </c>
      <c r="H5" s="7" t="inlineStr">
        <is>
          <t>Bugatti AG press archive</t>
        </is>
      </c>
      <c r="I5" s="7" t="inlineStr">
        <is>
          <t>https://www.supercars.net/blog/bugatti-veyron-chassis-5-0-the-dream-that-defined-the-hypercar-era/</t>
        </is>
      </c>
      <c r="J5" s="7" t="inlineStr">
        <is>
          <t>Bugatti AG, Bugatti Veyron Chassis 5.0 Validation Prototype, 2005, press archive via Supercars.net.</t>
        </is>
      </c>
      <c r="K5" s="8" t="inlineStr">
        <is>
          <t>High</t>
        </is>
      </c>
      <c r="L5" s="7" t="inlineStr">
        <is>
          <t>Fair use (editorial) - Bugatti AG</t>
        </is>
      </c>
      <c r="M5" s="7" t="inlineStr">
        <is>
          <t>~2000x1400</t>
        </is>
      </c>
      <c r="N5" s="7" t="inlineStr">
        <is>
          <t>press</t>
        </is>
      </c>
    </row>
    <row r="6" ht="85" customHeight="1">
      <c r="A6" s="7" t="inlineStr">
        <is>
          <t>https://www.supercars.net/blog/wp-content/uploads/2025/10/Bugatti-Veyron-chassis-5-2.jpg</t>
        </is>
      </c>
      <c r="B6" s="7" t="inlineStr">
        <is>
          <t>Bugatti Veyron</t>
        </is>
      </c>
      <c r="C6" s="7" t="inlineStr">
        <is>
          <t>press / Ehra-Lessien</t>
        </is>
      </c>
      <c r="D6" s="7" t="inlineStr">
        <is>
          <t>Chassis 5.0 — the car that ran the 407 km/h Ehra-Lessien validation with Uwe Novacki on April 19 2005.</t>
        </is>
      </c>
      <c r="E6" s="7" t="inlineStr">
        <is>
          <t>Specific to the top-speed run referenced in the brief.</t>
        </is>
      </c>
      <c r="F6" s="7" t="inlineStr">
        <is>
          <t>2005</t>
        </is>
      </c>
      <c r="G6" s="7" t="inlineStr">
        <is>
          <t>Bugatti AG press archive via Supercars.net</t>
        </is>
      </c>
      <c r="H6" s="7" t="inlineStr">
        <is>
          <t>Bugatti AG press archive</t>
        </is>
      </c>
      <c r="I6" s="7" t="inlineStr">
        <is>
          <t>https://www.supercars.net/blog/bugatti-veyron-chassis-5-0-the-dream-that-defined-the-hypercar-era/</t>
        </is>
      </c>
      <c r="J6" s="7" t="inlineStr">
        <is>
          <t>Bugatti AG, Bugatti Veyron Chassis 5.0, Ehra-Lessien Era, 2005.</t>
        </is>
      </c>
      <c r="K6" s="8" t="inlineStr">
        <is>
          <t>High</t>
        </is>
      </c>
      <c r="L6" s="7" t="inlineStr">
        <is>
          <t>Fair use (editorial) - Bugatti AG</t>
        </is>
      </c>
      <c r="M6" s="7" t="inlineStr">
        <is>
          <t>~2000x1400</t>
        </is>
      </c>
      <c r="N6" s="7" t="inlineStr">
        <is>
          <t>press</t>
        </is>
      </c>
    </row>
    <row r="7" ht="85" customHeight="1">
      <c r="A7" s="7" t="inlineStr">
        <is>
          <t>https://www.supercars.net/blog/wp-content/uploads/2025/10/Bugatti-Veyron-chassis-5-3.jpg</t>
        </is>
      </c>
      <c r="B7" s="7" t="inlineStr">
        <is>
          <t>Bugatti Veyron</t>
        </is>
      </c>
      <c r="C7" s="7" t="inlineStr">
        <is>
          <t>engineering</t>
        </is>
      </c>
      <c r="D7" s="7" t="inlineStr">
        <is>
          <t>Engineering detail of chassis 5.0 during 2005 development testing.</t>
        </is>
      </c>
      <c r="E7" s="7" t="inlineStr">
        <is>
          <t>Shows the car during engineering validation — the development story.</t>
        </is>
      </c>
      <c r="F7" s="7" t="inlineStr">
        <is>
          <t>2005</t>
        </is>
      </c>
      <c r="G7" s="7" t="inlineStr">
        <is>
          <t>Bugatti AG press archive via Supercars.net</t>
        </is>
      </c>
      <c r="H7" s="7" t="inlineStr">
        <is>
          <t>Bugatti AG press archive</t>
        </is>
      </c>
      <c r="I7" s="7" t="inlineStr">
        <is>
          <t>https://www.supercars.net/blog/bugatti-veyron-chassis-5-0-the-dream-that-defined-the-hypercar-era/</t>
        </is>
      </c>
      <c r="J7" s="7" t="inlineStr">
        <is>
          <t>Bugatti AG, Bugatti Veyron Chassis 5.0, Engineering Detail, 2005.</t>
        </is>
      </c>
      <c r="K7" s="8" t="inlineStr">
        <is>
          <t>High</t>
        </is>
      </c>
      <c r="L7" s="7" t="inlineStr">
        <is>
          <t>Fair use (editorial) - Bugatti AG</t>
        </is>
      </c>
      <c r="M7" s="7" t="inlineStr">
        <is>
          <t>~2000x1400</t>
        </is>
      </c>
      <c r="N7" s="7" t="inlineStr">
        <is>
          <t>press</t>
        </is>
      </c>
    </row>
    <row r="8" ht="85" customHeight="1">
      <c r="A8" s="7" t="inlineStr">
        <is>
          <t>https://www.supercars.net/blog/wp-content/uploads/2025/10/Bugatti-Veyron-chassis-5-4.jpg</t>
        </is>
      </c>
      <c r="B8" s="7" t="inlineStr">
        <is>
          <t>Bugatti Veyron</t>
        </is>
      </c>
      <c r="C8" s="7" t="inlineStr">
        <is>
          <t>press</t>
        </is>
      </c>
      <c r="D8" s="7" t="inlineStr">
        <is>
          <t>Profile view of chassis 5.0 — the prototype that enabled the Molsheim Atelier to open on September 3, 2005.</t>
        </is>
      </c>
      <c r="E8" s="7" t="inlineStr">
        <is>
          <t>Visual anchor for the Molsheim Atelier opening moment.</t>
        </is>
      </c>
      <c r="F8" s="7" t="inlineStr">
        <is>
          <t>2005</t>
        </is>
      </c>
      <c r="G8" s="7" t="inlineStr">
        <is>
          <t>Bugatti AG press archive via Supercars.net</t>
        </is>
      </c>
      <c r="H8" s="7" t="inlineStr">
        <is>
          <t>Bugatti AG press archive</t>
        </is>
      </c>
      <c r="I8" s="7" t="inlineStr">
        <is>
          <t>https://www.supercars.net/blog/bugatti-veyron-chassis-5-0-the-dream-that-defined-the-hypercar-era/</t>
        </is>
      </c>
      <c r="J8" s="7" t="inlineStr">
        <is>
          <t>Bugatti AG, Bugatti Veyron Chassis 5.0, Profile, 2005.</t>
        </is>
      </c>
      <c r="K8" s="8" t="inlineStr">
        <is>
          <t>High</t>
        </is>
      </c>
      <c r="L8" s="7" t="inlineStr">
        <is>
          <t>Fair use (editorial) - Bugatti AG</t>
        </is>
      </c>
      <c r="M8" s="7" t="inlineStr">
        <is>
          <t>~2000x1400</t>
        </is>
      </c>
      <c r="N8" s="7" t="inlineStr">
        <is>
          <t>press</t>
        </is>
      </c>
    </row>
    <row r="9" ht="85" customHeight="1">
      <c r="A9" s="7" t="inlineStr">
        <is>
          <t>https://upload.wikimedia.org/wikipedia/commons/f/fa/Bugatti_Chiron_%288162%29.jpg</t>
        </is>
      </c>
      <c r="B9" s="7" t="inlineStr">
        <is>
          <t>Bugatti Veyron</t>
        </is>
      </c>
      <c r="C9" s="7" t="inlineStr">
        <is>
          <t>show debut</t>
        </is>
      </c>
      <c r="D9" s="7" t="inlineStr">
        <is>
          <t>The Bugatti EB 18.3 Chiron concept, unveiled at the 1999 Frankfurt Motor Show — the direct precursor to the Veyron.</t>
        </is>
      </c>
      <c r="E9" s="7" t="inlineStr">
        <is>
          <t>Fills the 1999 Frankfurt design-study gap; pre-Veyron design development.</t>
        </is>
      </c>
      <c r="F9" s="7" t="inlineStr">
        <is>
          <t>1999 (concept) / 2007 (photo)</t>
        </is>
      </c>
      <c r="G9" s="7" t="inlineStr">
        <is>
          <t>Scuderi Ferrari (uploader name)</t>
        </is>
      </c>
      <c r="H9" s="7" t="inlineStr">
        <is>
          <t>Wikimedia Commons (Public Domain)</t>
        </is>
      </c>
      <c r="I9" s="7" t="inlineStr">
        <is>
          <t>https://commons.wikimedia.org/wiki/File:Bugatti_Chiron_(8162).jpg</t>
        </is>
      </c>
      <c r="J9" s="7" t="inlineStr">
        <is>
          <t>Scuderi Ferrari, Bugatti EB 18.3 Chiron Concept, 2007, Wikimedia Commons (Public Domain).</t>
        </is>
      </c>
      <c r="K9" s="8" t="inlineStr">
        <is>
          <t>High</t>
        </is>
      </c>
      <c r="L9" s="7" t="inlineStr">
        <is>
          <t>Public Domain</t>
        </is>
      </c>
      <c r="M9" s="7" t="inlineStr">
        <is>
          <t>~2000x1500</t>
        </is>
      </c>
      <c r="N9" s="7" t="inlineStr">
        <is>
          <t>show</t>
        </is>
      </c>
    </row>
    <row r="10" ht="85" customHeight="1">
      <c r="A10" s="7" t="inlineStr">
        <is>
          <t>https://upload.wikimedia.org/wikipedia/commons/7/71/Bugatti_Veyron_18_4_Concept_%2854737722934%29.jpg</t>
        </is>
      </c>
      <c r="B10" s="7" t="inlineStr">
        <is>
          <t>Bugatti Veyron</t>
        </is>
      </c>
      <c r="C10" s="7" t="inlineStr">
        <is>
          <t>show debut</t>
        </is>
      </c>
      <c r="D10" s="7" t="inlineStr">
        <is>
          <t>The Bugatti EB 18.4 Veyron concept, 1999 Tokyo Motor Show — first use of the 'Veyron' name on a Bugatti.</t>
        </is>
      </c>
      <c r="E10" s="7" t="inlineStr">
        <is>
          <t>Critical naming-genealogy artifact; documents the 1999 Tokyo reveal.</t>
        </is>
      </c>
      <c r="F10" s="7" t="inlineStr">
        <is>
          <t>1999 (concept) / 2025 (photo)</t>
        </is>
      </c>
      <c r="G10" s="7" t="inlineStr">
        <is>
          <t>More Cars</t>
        </is>
      </c>
      <c r="H10" s="7" t="inlineStr">
        <is>
          <t>Wikimedia Commons</t>
        </is>
      </c>
      <c r="I10" s="7" t="inlineStr">
        <is>
          <t>https://commons.wikimedia.org/wiki/File:Bugatti_Veyron_18_4_Concept_(54737722934).jpg</t>
        </is>
      </c>
      <c r="J10" s="7" t="inlineStr">
        <is>
          <t>More Cars, Bugatti Veyron 18.4 Concept, 2025, Wikimedia Commons, CC BY 4.0.</t>
        </is>
      </c>
      <c r="K10" s="8" t="inlineStr">
        <is>
          <t>High</t>
        </is>
      </c>
      <c r="L10" s="7" t="inlineStr">
        <is>
          <t>CC BY 4.0</t>
        </is>
      </c>
      <c r="M10" s="7" t="inlineStr">
        <is>
          <t>~3000x2000</t>
        </is>
      </c>
      <c r="N10" s="7" t="inlineStr">
        <is>
          <t>show</t>
        </is>
      </c>
    </row>
    <row r="11" ht="85" customHeight="1">
      <c r="A11" s="7" t="inlineStr">
        <is>
          <t>https://upload.wikimedia.org/wikipedia/commons/5/56/Bugatti_Veyron_8.0-litre_W16-cylinder_engine_-_Flickr_-_exfordy.jpg</t>
        </is>
      </c>
      <c r="B11" s="7" t="inlineStr">
        <is>
          <t>Bugatti Veyron</t>
        </is>
      </c>
      <c r="C11" s="7" t="inlineStr">
        <is>
          <t>engineering / cutaway</t>
        </is>
      </c>
      <c r="D11" s="7" t="inlineStr">
        <is>
          <t>The Veyron's 8.0-litre quad-turbo W16 engine, open view.</t>
        </is>
      </c>
      <c r="E11" s="7" t="inlineStr">
        <is>
          <t>Centerpiece of the engineering-story room; the 1,001 hp W16 in situ.</t>
        </is>
      </c>
      <c r="F11" s="7" t="inlineStr">
        <is>
          <t>2008</t>
        </is>
      </c>
      <c r="G11" s="7" t="inlineStr">
        <is>
          <t>Brian Snelson</t>
        </is>
      </c>
      <c r="H11" s="7" t="inlineStr">
        <is>
          <t>Flickr / Wikimedia Commons</t>
        </is>
      </c>
      <c r="I11" s="7" t="inlineStr">
        <is>
          <t>https://commons.wikimedia.org/wiki/File:Bugatti_Veyron_8.0-litre_W16-cylinder_engine_-_Flickr_-_exfordy.jpg</t>
        </is>
      </c>
      <c r="J11" s="7" t="inlineStr">
        <is>
          <t>Brian Snelson, Bugatti Veyron 8.0-litre W16 Engine, 2008, Wikimedia Commons, CC BY 2.0.</t>
        </is>
      </c>
      <c r="K11" s="8" t="inlineStr">
        <is>
          <t>High</t>
        </is>
      </c>
      <c r="L11" s="7" t="inlineStr">
        <is>
          <t>CC BY 2.0</t>
        </is>
      </c>
      <c r="M11" s="7" t="inlineStr">
        <is>
          <t>~3000x2000</t>
        </is>
      </c>
      <c r="N11" s="7" t="inlineStr">
        <is>
          <t>press</t>
        </is>
      </c>
    </row>
    <row r="12" ht="85" customHeight="1">
      <c r="A12" s="7" t="inlineStr">
        <is>
          <t>https://upload.wikimedia.org/wikipedia/commons/8/81/W-16_on_a_Bugatti_Veyron_-_panoramio.jpg</t>
        </is>
      </c>
      <c r="B12" s="7" t="inlineStr">
        <is>
          <t>Bugatti Veyron</t>
        </is>
      </c>
      <c r="C12" s="7" t="inlineStr">
        <is>
          <t>engineering</t>
        </is>
      </c>
      <c r="D12" s="7" t="inlineStr">
        <is>
          <t>The W16 engine installed on the Veyron chassis showing the packaging of four turbochargers and cooling system.</t>
        </is>
      </c>
      <c r="E12" s="7" t="inlineStr">
        <is>
          <t>Shows the cooling-system-and-tire engineering story visually.</t>
        </is>
      </c>
      <c r="F12" s="7" t="inlineStr">
        <is>
          <t>2010</t>
        </is>
      </c>
      <c r="G12" s="7" t="inlineStr">
        <is>
          <t>Dane Poset</t>
        </is>
      </c>
      <c r="H12" s="7" t="inlineStr">
        <is>
          <t>Wikimedia Commons</t>
        </is>
      </c>
      <c r="I12" s="7" t="inlineStr">
        <is>
          <t>https://commons.wikimedia.org/wiki/File:W-16_on_a_Bugatti_Veyron_-_panoramio.jpg</t>
        </is>
      </c>
      <c r="J12" s="7" t="inlineStr">
        <is>
          <t>Dane Poset, W16 Engine on a Bugatti Veyron Chassis, 2010, Wikimedia Commons, CC BY-SA 3.0.</t>
        </is>
      </c>
      <c r="K12" s="7" t="inlineStr">
        <is>
          <t>Medium</t>
        </is>
      </c>
      <c r="L12" s="7" t="inlineStr">
        <is>
          <t>CC BY-SA 3.0</t>
        </is>
      </c>
      <c r="M12" s="7" t="inlineStr">
        <is>
          <t>~1500x1000</t>
        </is>
      </c>
      <c r="N12" s="7" t="inlineStr">
        <is>
          <t>press</t>
        </is>
      </c>
    </row>
    <row r="13" ht="85" customHeight="1">
      <c r="A13" s="7" t="inlineStr">
        <is>
          <t>https://upload.wikimedia.org/wikipedia/commons/7/77/Schl%C3%BCssel.jpg</t>
        </is>
      </c>
      <c r="B13" s="7" t="inlineStr">
        <is>
          <t>Bugatti Veyron</t>
        </is>
      </c>
      <c r="C13" s="7" t="inlineStr">
        <is>
          <t>engineering / inline artifact</t>
        </is>
      </c>
      <c r="D13" s="7" t="inlineStr">
        <is>
          <t>The Bugatti Veyron top-speed key — the mandatory second key that unlocks the 400 km/h mode by reconfiguring active aero.</t>
        </is>
      </c>
      <c r="E13" s="7" t="inlineStr">
        <is>
          <t>Period artifact of the car's engineering protocol; visually distinctive, unique to the exhibit.</t>
        </is>
      </c>
      <c r="F13" s="7" t="inlineStr">
        <is>
          <t>October 19 2005</t>
        </is>
      </c>
      <c r="G13" s="7" t="inlineStr">
        <is>
          <t>EricS</t>
        </is>
      </c>
      <c r="H13" s="7" t="inlineStr">
        <is>
          <t>Wikimedia Commons (Public Domain)</t>
        </is>
      </c>
      <c r="I13" s="7" t="inlineStr">
        <is>
          <t>https://commons.wikimedia.org/wiki/File:Schl%C3%BCssel.jpg</t>
        </is>
      </c>
      <c r="J13" s="7" t="inlineStr">
        <is>
          <t>EricS, Bugatti Veyron Top-Speed Key, October 19 2005, Wikimedia Commons (Public Domain).</t>
        </is>
      </c>
      <c r="K13" s="8" t="inlineStr">
        <is>
          <t>High</t>
        </is>
      </c>
      <c r="L13" s="7" t="inlineStr">
        <is>
          <t>Public Domain</t>
        </is>
      </c>
      <c r="M13" s="7" t="inlineStr">
        <is>
          <t>~1500x1000</t>
        </is>
      </c>
      <c r="N13" s="7" t="inlineStr">
        <is>
          <t>press</t>
        </is>
      </c>
    </row>
    <row r="14" ht="85" customHeight="1">
      <c r="A14" s="7" t="inlineStr">
        <is>
          <t>https://upload.wikimedia.org/wikipedia/commons/4/47/Bugatti_Veyron_16.4_Super_Sport_%282%29.jpg</t>
        </is>
      </c>
      <c r="B14" s="7" t="inlineStr">
        <is>
          <t>Bugatti Veyron</t>
        </is>
      </c>
      <c r="C14" s="7" t="inlineStr">
        <is>
          <t>variant coverage</t>
        </is>
      </c>
      <c r="D14" s="7" t="inlineStr">
        <is>
          <t>Bugatti Veyron 16.4 Super Sport — the 1,200 hp variant that retook the speed record at 267 mph in 2010.</t>
        </is>
      </c>
      <c r="E14" s="7" t="inlineStr">
        <is>
          <t>Fills the Super Sport variant coverage gap directly called out in the brief.</t>
        </is>
      </c>
      <c r="F14" s="7" t="inlineStr">
        <is>
          <t>2020 (photograph of Super Sport)</t>
        </is>
      </c>
      <c r="G14" s="7" t="inlineStr">
        <is>
          <t>Alexandre Prevot</t>
        </is>
      </c>
      <c r="H14" s="7" t="inlineStr">
        <is>
          <t>Wikimedia Commons</t>
        </is>
      </c>
      <c r="I14" s="7" t="inlineStr">
        <is>
          <t>https://commons.wikimedia.org/wiki/File:Bugatti_Veyron_16.4_Super_Sport_(2).jpg</t>
        </is>
      </c>
      <c r="J14" s="7" t="inlineStr">
        <is>
          <t>Alexandre Prevot, Bugatti Veyron 16.4 Super Sport, 2020, Wikimedia Commons, CC BY-SA 4.0.</t>
        </is>
      </c>
      <c r="K14" s="8" t="inlineStr">
        <is>
          <t>High</t>
        </is>
      </c>
      <c r="L14" s="7" t="inlineStr">
        <is>
          <t>CC BY-SA 4.0</t>
        </is>
      </c>
      <c r="M14" s="7" t="inlineStr">
        <is>
          <t>~4000x2700</t>
        </is>
      </c>
      <c r="N14" s="7" t="inlineStr">
        <is>
          <t>gallery</t>
        </is>
      </c>
    </row>
    <row r="15" ht="85" customHeight="1">
      <c r="A15" s="7" t="inlineStr">
        <is>
          <t>https://upload.wikimedia.org/wikipedia/commons/2/23/Bugatti_Veyron_16.4_Super_Sport_World_Record_Edition_-_54848058191.jpg</t>
        </is>
      </c>
      <c r="B15" s="7" t="inlineStr">
        <is>
          <t>Bugatti Veyron</t>
        </is>
      </c>
      <c r="C15" s="7" t="inlineStr">
        <is>
          <t>variant coverage / speed record</t>
        </is>
      </c>
      <c r="D15" s="7" t="inlineStr">
        <is>
          <t>Veyron 16.4 Super Sport World Record Edition — the specific edition commemorating the 267.8 mph top-speed run.</t>
        </is>
      </c>
      <c r="E15" s="7" t="inlineStr">
        <is>
          <t>Anchors the Super Sport speed-record story visually.</t>
        </is>
      </c>
      <c r="F15" s="7" t="inlineStr">
        <is>
          <t>2023 (photograph)</t>
        </is>
      </c>
      <c r="G15" s="7" t="inlineStr">
        <is>
          <t>Alexandre Prevot</t>
        </is>
      </c>
      <c r="H15" s="7" t="inlineStr">
        <is>
          <t>Wikimedia Commons</t>
        </is>
      </c>
      <c r="I15" s="7" t="inlineStr">
        <is>
          <t>https://commons.wikimedia.org/wiki/File:Bugatti_Veyron_16.4_Super_Sport_World_Record_Edition_-_54848058191.jpg</t>
        </is>
      </c>
      <c r="J15" s="7" t="inlineStr">
        <is>
          <t>Alexandre Prevot, Bugatti Veyron 16.4 Super Sport World Record Edition, 2023, Wikimedia Commons, CC BY-SA 4.0.</t>
        </is>
      </c>
      <c r="K15" s="8" t="inlineStr">
        <is>
          <t>High</t>
        </is>
      </c>
      <c r="L15" s="7" t="inlineStr">
        <is>
          <t>CC BY-SA 4.0</t>
        </is>
      </c>
      <c r="M15" s="7" t="inlineStr">
        <is>
          <t>~4000x2700</t>
        </is>
      </c>
      <c r="N15" s="7" t="inlineStr">
        <is>
          <t>gallery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2026-04-23T20:29:18Z</dcterms:created>
  <dcterms:modified xmlns:dcterms="http://purl.org/dc/terms/" xmlns:xsi="http://www.w3.org/2001/XMLSchema-instance" xsi:type="dcterms:W3CDTF">2026-04-23T20:29:18Z</dcterms:modified>
</cp:coreProperties>
</file>